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maurivanvazribeiro/Downloads/"/>
    </mc:Choice>
  </mc:AlternateContent>
  <xr:revisionPtr revIDLastSave="0" documentId="13_ncr:1_{319F061E-3027-2F4E-A0BC-CB0DF81D0DBA}" xr6:coauthVersionLast="47" xr6:coauthVersionMax="47" xr10:uidLastSave="{00000000-0000-0000-0000-000000000000}"/>
  <bookViews>
    <workbookView xWindow="29400" yWindow="500" windowWidth="32000" windowHeight="17500" activeTab="5" xr2:uid="{00000000-000D-0000-FFFF-FFFF00000000}"/>
  </bookViews>
  <sheets>
    <sheet name="Calendario" sheetId="2" r:id="rId1"/>
    <sheet name="Calendario Visual - Atividades" sheetId="1" r:id="rId2"/>
    <sheet name="Planejamento" sheetId="4" r:id="rId3"/>
    <sheet name="Cronograma 2026-2028" sheetId="7" r:id="rId4"/>
    <sheet name="Controle Integrado" sheetId="8" r:id="rId5"/>
    <sheet name="Dashboard Executivo" sheetId="3" r:id="rId6"/>
    <sheet name="Base Áreas" sheetId="5" r:id="rId7"/>
    <sheet name="Configurações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7" l="1"/>
  <c r="H7" i="7"/>
  <c r="P29" i="8"/>
  <c r="O29" i="8" s="1"/>
  <c r="H14" i="7"/>
  <c r="B47" i="8"/>
  <c r="D47" i="8" s="1"/>
  <c r="D46" i="8"/>
  <c r="D45" i="8"/>
  <c r="D44" i="8"/>
  <c r="U41" i="8"/>
  <c r="P41" i="8"/>
  <c r="O41" i="8" s="1"/>
  <c r="U40" i="8"/>
  <c r="P40" i="8"/>
  <c r="O40" i="8" s="1"/>
  <c r="U39" i="8"/>
  <c r="P39" i="8"/>
  <c r="O39" i="8" s="1"/>
  <c r="U38" i="8"/>
  <c r="P38" i="8"/>
  <c r="O38" i="8" s="1"/>
  <c r="U37" i="8"/>
  <c r="P37" i="8"/>
  <c r="O37" i="8" s="1"/>
  <c r="U36" i="8"/>
  <c r="P36" i="8"/>
  <c r="O36" i="8" s="1"/>
  <c r="U35" i="8"/>
  <c r="P35" i="8"/>
  <c r="O35" i="8" s="1"/>
  <c r="U34" i="8"/>
  <c r="P34" i="8"/>
  <c r="O34" i="8" s="1"/>
  <c r="U33" i="8"/>
  <c r="P33" i="8"/>
  <c r="O33" i="8" s="1"/>
  <c r="U32" i="8"/>
  <c r="P32" i="8"/>
  <c r="O32" i="8" s="1"/>
  <c r="U31" i="8"/>
  <c r="P31" i="8"/>
  <c r="O31" i="8" s="1"/>
  <c r="U30" i="8"/>
  <c r="P30" i="8"/>
  <c r="O30" i="8" s="1"/>
  <c r="U29" i="8"/>
  <c r="U28" i="8"/>
  <c r="P28" i="8"/>
  <c r="O28" i="8" s="1"/>
  <c r="U27" i="8"/>
  <c r="P27" i="8"/>
  <c r="O27" i="8" s="1"/>
  <c r="U26" i="8"/>
  <c r="P26" i="8"/>
  <c r="O26" i="8" s="1"/>
  <c r="U25" i="8"/>
  <c r="P25" i="8"/>
  <c r="O25" i="8" s="1"/>
  <c r="U24" i="8"/>
  <c r="P24" i="8"/>
  <c r="O24" i="8" s="1"/>
  <c r="U23" i="8"/>
  <c r="P23" i="8"/>
  <c r="O23" i="8" s="1"/>
  <c r="U22" i="8"/>
  <c r="P22" i="8"/>
  <c r="O22" i="8" s="1"/>
  <c r="U21" i="8"/>
  <c r="P21" i="8"/>
  <c r="O21" i="8" s="1"/>
  <c r="U20" i="8"/>
  <c r="P20" i="8"/>
  <c r="O20" i="8" s="1"/>
  <c r="U19" i="8"/>
  <c r="P19" i="8"/>
  <c r="O19" i="8" s="1"/>
  <c r="U18" i="8"/>
  <c r="P18" i="8"/>
  <c r="O18" i="8" s="1"/>
  <c r="U17" i="8"/>
  <c r="P17" i="8"/>
  <c r="O17" i="8" s="1"/>
  <c r="U16" i="8"/>
  <c r="P16" i="8"/>
  <c r="O16" i="8" s="1"/>
  <c r="U15" i="8"/>
  <c r="P15" i="8"/>
  <c r="O15" i="8" s="1"/>
  <c r="U14" i="8"/>
  <c r="P14" i="8"/>
  <c r="O14" i="8" s="1"/>
  <c r="U13" i="8"/>
  <c r="P13" i="8"/>
  <c r="O13" i="8" s="1"/>
  <c r="U12" i="8"/>
  <c r="P12" i="8"/>
  <c r="O12" i="8" s="1"/>
  <c r="U11" i="8"/>
  <c r="P11" i="8"/>
  <c r="O11" i="8"/>
  <c r="U10" i="8"/>
  <c r="P10" i="8"/>
  <c r="O10" i="8" s="1"/>
  <c r="U9" i="8"/>
  <c r="P9" i="8"/>
  <c r="O9" i="8" s="1"/>
  <c r="U8" i="8"/>
  <c r="P8" i="8"/>
  <c r="O8" i="8" s="1"/>
  <c r="U7" i="8"/>
  <c r="P7" i="8"/>
  <c r="O7" i="8" s="1"/>
  <c r="U6" i="8"/>
  <c r="P6" i="8"/>
  <c r="O6" i="8" s="1"/>
  <c r="U5" i="8"/>
  <c r="P5" i="8"/>
  <c r="O5" i="8" s="1"/>
  <c r="U4" i="8"/>
  <c r="P4" i="8"/>
  <c r="O4" i="8" s="1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AE7" i="7"/>
  <c r="AD7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I7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AE4" i="7"/>
  <c r="AD4" i="7"/>
  <c r="AC4" i="7"/>
  <c r="AB4" i="7"/>
  <c r="AA4" i="7"/>
  <c r="Z4" i="7"/>
  <c r="Y4" i="7"/>
  <c r="X4" i="7"/>
  <c r="W4" i="7"/>
  <c r="V4" i="7"/>
  <c r="U4" i="7"/>
  <c r="T4" i="7"/>
  <c r="S4" i="7"/>
  <c r="R4" i="7"/>
  <c r="Q4" i="7"/>
  <c r="P4" i="7"/>
  <c r="O4" i="7"/>
  <c r="N4" i="7"/>
  <c r="M4" i="7"/>
  <c r="L4" i="7"/>
  <c r="K4" i="7"/>
  <c r="J4" i="7"/>
  <c r="I4" i="7"/>
  <c r="H4" i="7"/>
  <c r="AE3" i="7"/>
  <c r="AD3" i="7"/>
  <c r="AC3" i="7"/>
  <c r="AB3" i="7"/>
  <c r="AA3" i="7"/>
  <c r="Z3" i="7"/>
  <c r="Y3" i="7"/>
  <c r="X3" i="7"/>
  <c r="W3" i="7"/>
  <c r="V3" i="7"/>
  <c r="U3" i="7"/>
  <c r="T3" i="7"/>
  <c r="S3" i="7"/>
  <c r="R3" i="7"/>
  <c r="Q3" i="7"/>
  <c r="P3" i="7"/>
  <c r="O3" i="7"/>
  <c r="N3" i="7"/>
  <c r="M3" i="7"/>
  <c r="L3" i="7"/>
  <c r="K3" i="7"/>
  <c r="J3" i="7"/>
  <c r="I3" i="7"/>
  <c r="H3" i="7"/>
  <c r="M7" i="4"/>
  <c r="M6" i="4"/>
  <c r="M5" i="4"/>
  <c r="K5" i="4"/>
  <c r="M4" i="4"/>
  <c r="K4" i="4"/>
  <c r="F43" i="3"/>
  <c r="F42" i="3"/>
  <c r="E22" i="3"/>
  <c r="E21" i="3"/>
  <c r="E20" i="3"/>
  <c r="E19" i="3"/>
  <c r="I17" i="3"/>
  <c r="F17" i="3"/>
  <c r="C17" i="3"/>
  <c r="F8" i="3"/>
  <c r="J4" i="3"/>
  <c r="F4" i="3"/>
  <c r="B4" i="3"/>
  <c r="B13" i="3" s="1"/>
  <c r="E41" i="1"/>
  <c r="F44" i="3" l="1"/>
  <c r="H19" i="3"/>
  <c r="H20" i="3" s="1"/>
  <c r="F47" i="8"/>
  <c r="H47" i="8" s="1"/>
  <c r="H45" i="8"/>
  <c r="H46" i="8"/>
  <c r="F44" i="8"/>
  <c r="H44" i="8" s="1"/>
  <c r="B22" i="3"/>
  <c r="B19" i="3"/>
  <c r="B8" i="3"/>
  <c r="B21" i="3"/>
  <c r="J8" i="3"/>
  <c r="B20" i="3"/>
</calcChain>
</file>

<file path=xl/sharedStrings.xml><?xml version="1.0" encoding="utf-8"?>
<sst xmlns="http://schemas.openxmlformats.org/spreadsheetml/2006/main" count="865" uniqueCount="274">
  <si>
    <t>CALENDARIO 2026</t>
  </si>
  <si>
    <t>Glebas</t>
  </si>
  <si>
    <t>Conjunto Eólico Umburanas</t>
  </si>
  <si>
    <t>Área PRAD</t>
  </si>
  <si>
    <t>Área (ha)</t>
  </si>
  <si>
    <t>Atuação</t>
  </si>
  <si>
    <t>AGOSTO</t>
  </si>
  <si>
    <t>SETEMBRO</t>
  </si>
  <si>
    <t>OUTUBRO</t>
  </si>
  <si>
    <t>Atividade</t>
  </si>
  <si>
    <t>Área</t>
  </si>
  <si>
    <t>Início</t>
  </si>
  <si>
    <t>Término Previsto</t>
  </si>
  <si>
    <t>Término Real</t>
  </si>
  <si>
    <t>Prorrogação</t>
  </si>
  <si>
    <t>Responsável</t>
  </si>
  <si>
    <t>Status</t>
  </si>
  <si>
    <t>% Concluído</t>
  </si>
  <si>
    <t>Dias Restantes</t>
  </si>
  <si>
    <t>Umburanas 25</t>
  </si>
  <si>
    <t>Bota-fora 11</t>
  </si>
  <si>
    <t>Reforma da gleba</t>
  </si>
  <si>
    <t>D</t>
  </si>
  <si>
    <t>S</t>
  </si>
  <si>
    <t>T</t>
  </si>
  <si>
    <t>Q</t>
  </si>
  <si>
    <t>Coleta de Solo</t>
  </si>
  <si>
    <t>50,26 ha</t>
  </si>
  <si>
    <t>10/08/2026</t>
  </si>
  <si>
    <t>31/08/2026</t>
  </si>
  <si>
    <t/>
  </si>
  <si>
    <t>Equipe Campo</t>
  </si>
  <si>
    <t>Em andamento</t>
  </si>
  <si>
    <t>Umburanas 01</t>
  </si>
  <si>
    <t>Caixa de empréstimo 06</t>
  </si>
  <si>
    <t>Manutenção Canteiro Principal</t>
  </si>
  <si>
    <t>3,46 ha</t>
  </si>
  <si>
    <t>Equipe Manutenção</t>
  </si>
  <si>
    <t>Umburanas 11</t>
  </si>
  <si>
    <t>Bota fora 01</t>
  </si>
  <si>
    <t>Manutenção média</t>
  </si>
  <si>
    <t>Manutenção Sistema de Irrigação</t>
  </si>
  <si>
    <t>38 áreas</t>
  </si>
  <si>
    <t>Equipe Irrigação</t>
  </si>
  <si>
    <t>Não iniciado</t>
  </si>
  <si>
    <t>Umburanas 19</t>
  </si>
  <si>
    <t>Bota-fora 02</t>
  </si>
  <si>
    <t>Umburanas 15</t>
  </si>
  <si>
    <t>Bota-fora 05</t>
  </si>
  <si>
    <t>Bota-fora 07</t>
  </si>
  <si>
    <t>DASHBOARD</t>
  </si>
  <si>
    <t>Umburanas 02</t>
  </si>
  <si>
    <t>Bota-fora 09</t>
  </si>
  <si>
    <t>Total Atividades</t>
  </si>
  <si>
    <t>Bota-fora 10</t>
  </si>
  <si>
    <t>NOVEMBRO</t>
  </si>
  <si>
    <t>DEZEMBRO</t>
  </si>
  <si>
    <t>Concluídas</t>
  </si>
  <si>
    <t>Umburanas 13</t>
  </si>
  <si>
    <t>Bota-fora 13</t>
  </si>
  <si>
    <t>Umburanas 17 e Umburanas 5</t>
  </si>
  <si>
    <t>Bota-fora 15</t>
  </si>
  <si>
    <t>Umburanas 17</t>
  </si>
  <si>
    <t>Bota-fora 16</t>
  </si>
  <si>
    <t>Progresso Geral</t>
  </si>
  <si>
    <t>Umburanas 16</t>
  </si>
  <si>
    <t>Bota-fora 18</t>
  </si>
  <si>
    <t>Umburanas 08</t>
  </si>
  <si>
    <t>Bota-fora 20</t>
  </si>
  <si>
    <t>Umburanas 21</t>
  </si>
  <si>
    <t>Bota-fora 21</t>
  </si>
  <si>
    <t>Umburanas 18</t>
  </si>
  <si>
    <t>Bota-fora 23</t>
  </si>
  <si>
    <t>Umburanas 10</t>
  </si>
  <si>
    <t>Bota-fora 26</t>
  </si>
  <si>
    <t>Bota-fora 27</t>
  </si>
  <si>
    <t>Bota-fora 28</t>
  </si>
  <si>
    <t>Umburanas 09</t>
  </si>
  <si>
    <t>Bota-fora 29</t>
  </si>
  <si>
    <t>Umburanas 01 e 03</t>
  </si>
  <si>
    <t>Caixa de empréstimo 01</t>
  </si>
  <si>
    <t>Umburanas 03 e 15</t>
  </si>
  <si>
    <t>Caixa de empréstimo 02</t>
  </si>
  <si>
    <t>Caixa de empréstimo 05</t>
  </si>
  <si>
    <t>Caixa de empréstimo 09</t>
  </si>
  <si>
    <t>Umburanas 05</t>
  </si>
  <si>
    <t>Caixa de empréstimo 12</t>
  </si>
  <si>
    <t>Canteiro de apoio 05</t>
  </si>
  <si>
    <t>Canteiro principal</t>
  </si>
  <si>
    <t>Jazida Santo Anjo</t>
  </si>
  <si>
    <t>Jazida Santo Antonio</t>
  </si>
  <si>
    <t>Jazido Campo Alegre</t>
  </si>
  <si>
    <t>-</t>
  </si>
  <si>
    <t>Jazida do Meio</t>
  </si>
  <si>
    <t>Bota-fora 08</t>
  </si>
  <si>
    <t>Manutenção básica</t>
  </si>
  <si>
    <t>Bota-fora 24</t>
  </si>
  <si>
    <t>Bota-fora 04</t>
  </si>
  <si>
    <t>Áreas consolidadas</t>
  </si>
  <si>
    <t>Caixa de empréstimo 14</t>
  </si>
  <si>
    <t>Umburanas 23</t>
  </si>
  <si>
    <t>Caixa de empréstimo 16</t>
  </si>
  <si>
    <t>Canteiro de apoio 04</t>
  </si>
  <si>
    <t>Bota-fora 22</t>
  </si>
  <si>
    <t>Bota-fora 25</t>
  </si>
  <si>
    <t>Total Geral</t>
  </si>
  <si>
    <t>AGO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</si>
  <si>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</si>
  <si>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</si>
  <si>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</si>
  <si>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</si>
  <si>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</si>
  <si>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</si>
  <si>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</si>
  <si>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</si>
  <si>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</si>
  <si>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</si>
  <si>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</si>
  <si>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PRAD CONJUNTO EÓLICO UMBURANAS - (ENGIE)</t>
  </si>
  <si>
    <t>Mobilização</t>
  </si>
  <si>
    <t>Plano de Trabalho</t>
  </si>
  <si>
    <t>Plantio - Sob demanda</t>
  </si>
  <si>
    <t>Manutenção Áreas de Restauração Florestal - PRAD</t>
  </si>
  <si>
    <t>Irrigação - Áreas de Restauração Florestal - PRAD</t>
  </si>
  <si>
    <t>Monitoramento - Operacional</t>
  </si>
  <si>
    <t>Monitoramento - Ecológico</t>
  </si>
  <si>
    <t xml:space="preserve">Relatórios Trimestrais </t>
  </si>
  <si>
    <t xml:space="preserve">Relatórios Consolidados </t>
  </si>
  <si>
    <t>EcoBrasil Consultoria Ambiental | Atualização quinzenal | 38 áreas | 50,26 ha</t>
  </si>
  <si>
    <t>PROGRESSO GERAL</t>
  </si>
  <si>
    <t>ÁREAS CONCLUÍDAS</t>
  </si>
  <si>
    <t>HECTARES EXECUTADOS</t>
  </si>
  <si>
    <t>ATIVIDADES CONCLUÍDAS</t>
  </si>
  <si>
    <t>PRAZO CONTRATUAL</t>
  </si>
  <si>
    <t>PRORROGAÇÕES</t>
  </si>
  <si>
    <t>BARRA DE PROGRESSO GERAL</t>
  </si>
  <si>
    <t>LANÇAMENTO RÁPIDO — PREENCHA SOMENTE AS CÉLULAS AMARELAS</t>
  </si>
  <si>
    <t>Áreas prontas</t>
  </si>
  <si>
    <t>de 38 áreas</t>
  </si>
  <si>
    <t>Hectares executados</t>
  </si>
  <si>
    <t>de 50,26 ha</t>
  </si>
  <si>
    <t>Áreas pendentes</t>
  </si>
  <si>
    <t>Percentual das áreas</t>
  </si>
  <si>
    <t>Hectares restantes</t>
  </si>
  <si>
    <t>Quantidade</t>
  </si>
  <si>
    <t>%</t>
  </si>
  <si>
    <t>Indicador</t>
  </si>
  <si>
    <t>Valor</t>
  </si>
  <si>
    <t>Áreas concluídas</t>
  </si>
  <si>
    <t>Executado</t>
  </si>
  <si>
    <t>Avanço em hectares</t>
  </si>
  <si>
    <t>Restante</t>
  </si>
  <si>
    <t>Concluído</t>
  </si>
  <si>
    <t>Prorrogado/Atrasado</t>
  </si>
  <si>
    <t>Sistema de irrigação</t>
  </si>
  <si>
    <t>Data</t>
  </si>
  <si>
    <t>Planejado</t>
  </si>
  <si>
    <t>Realizado</t>
  </si>
  <si>
    <t>Observação</t>
  </si>
  <si>
    <t>1ª quinzena</t>
  </si>
  <si>
    <t>2ª quinzena</t>
  </si>
  <si>
    <t>Prorrogação, se aplicável</t>
  </si>
  <si>
    <t>PLANEJAMENTO E CONTROLE QUINZENAL</t>
  </si>
  <si>
    <t>ID</t>
  </si>
  <si>
    <t>Unidade</t>
  </si>
  <si>
    <t>Meta</t>
  </si>
  <si>
    <t>Nova Data</t>
  </si>
  <si>
    <t>Saldo</t>
  </si>
  <si>
    <t>Observações</t>
  </si>
  <si>
    <t>Coleta de solo nas 38 áreas</t>
  </si>
  <si>
    <t>áreas</t>
  </si>
  <si>
    <t>Equipe de Campo</t>
  </si>
  <si>
    <t>Registrar áreas coletadas e hectares atendidos.</t>
  </si>
  <si>
    <t>Avanço territorial consolidado</t>
  </si>
  <si>
    <t>ha</t>
  </si>
  <si>
    <t>Hectares efetivamente atendidos no conjunto das 38 áreas.</t>
  </si>
  <si>
    <t>Manutenção do canteiro principal</t>
  </si>
  <si>
    <t>Equipe de Manutenção</t>
  </si>
  <si>
    <t>Coroamento, limpeza, reparos e organização operacional.</t>
  </si>
  <si>
    <t>Manutenção do sistema de irrigação</t>
  </si>
  <si>
    <t>sistema</t>
  </si>
  <si>
    <t>Equipe de Irrigação</t>
  </si>
  <si>
    <t>Inspeção, testes, correções e substituições necessárias.</t>
  </si>
  <si>
    <t>CONTROLE DAS 38 ÁREAS — COLETA DE SOLO</t>
  </si>
  <si>
    <t>Data prevista</t>
  </si>
  <si>
    <t>Data realizada</t>
  </si>
  <si>
    <t>Quinzena</t>
  </si>
  <si>
    <t>Resultado/Protocolo</t>
  </si>
  <si>
    <t>Pendência</t>
  </si>
  <si>
    <t>Área 01</t>
  </si>
  <si>
    <t>Área 02</t>
  </si>
  <si>
    <t>Área 03</t>
  </si>
  <si>
    <t>Área 04</t>
  </si>
  <si>
    <t>Área 05</t>
  </si>
  <si>
    <t>Área 06</t>
  </si>
  <si>
    <t>Área 07</t>
  </si>
  <si>
    <t>Área 08</t>
  </si>
  <si>
    <t>Área 09</t>
  </si>
  <si>
    <t>Área 10</t>
  </si>
  <si>
    <t>Área 11</t>
  </si>
  <si>
    <t>Área 12</t>
  </si>
  <si>
    <t>Área 13</t>
  </si>
  <si>
    <t>Área 14</t>
  </si>
  <si>
    <t>Área 15</t>
  </si>
  <si>
    <t>Área 16</t>
  </si>
  <si>
    <t>Área 17</t>
  </si>
  <si>
    <t>Área 18</t>
  </si>
  <si>
    <t>Área 19</t>
  </si>
  <si>
    <t>Área 20</t>
  </si>
  <si>
    <t>Área 21</t>
  </si>
  <si>
    <t>Área 22</t>
  </si>
  <si>
    <t>Área 23</t>
  </si>
  <si>
    <t>Área 24</t>
  </si>
  <si>
    <t>Área 25</t>
  </si>
  <si>
    <t>Área 26</t>
  </si>
  <si>
    <t>Área 27</t>
  </si>
  <si>
    <t>Área 28</t>
  </si>
  <si>
    <t>Área 29</t>
  </si>
  <si>
    <t>Área 30</t>
  </si>
  <si>
    <t>Área 31</t>
  </si>
  <si>
    <t>Área 32</t>
  </si>
  <si>
    <t>Área 33</t>
  </si>
  <si>
    <t>Área 34</t>
  </si>
  <si>
    <t>Área 35</t>
  </si>
  <si>
    <t>Área 36</t>
  </si>
  <si>
    <t>Área 37</t>
  </si>
  <si>
    <t>Área 38</t>
  </si>
  <si>
    <t>CONFIGURAÇÕES DO PAINEL</t>
  </si>
  <si>
    <t>Parâmetro</t>
  </si>
  <si>
    <t>Responsáveis</t>
  </si>
  <si>
    <t>Total de áreas</t>
  </si>
  <si>
    <t>Total previsto (ha)</t>
  </si>
  <si>
    <t>Canteiro principal (ha)</t>
  </si>
  <si>
    <t>Data-base</t>
  </si>
  <si>
    <t>Atrasado</t>
  </si>
  <si>
    <t>Gestão Técnica</t>
  </si>
  <si>
    <t>Fim contratual</t>
  </si>
  <si>
    <t>Prorrogado</t>
  </si>
  <si>
    <t>Periodicidade (dias)</t>
  </si>
  <si>
    <t>Data de atualização</t>
  </si>
  <si>
    <t>CRONOGRAMA MACRO — PRAD CONJUNTO EÓLICO UMBURANAS (ENGIE) | AGO/2026 A JUL/2028</t>
  </si>
  <si>
    <t>Relatórios Trimestrais</t>
  </si>
  <si>
    <t>Relatórios Consolidados</t>
  </si>
  <si>
    <t>Legenda</t>
  </si>
  <si>
    <t>CONTROLE INTEGRADO DAS ÁREAS E ATIVIDADES — PREENCHIMENTO ÚNICO</t>
  </si>
  <si>
    <t>Nº</t>
  </si>
  <si>
    <t>Conjunto Eólico</t>
  </si>
  <si>
    <t>Data Coleta</t>
  </si>
  <si>
    <t>Manutenção PRAD</t>
  </si>
  <si>
    <t>Data Manutenção</t>
  </si>
  <si>
    <t>Irrigação</t>
  </si>
  <si>
    <t>Data Irrigação</t>
  </si>
  <si>
    <t>Monitoramento Operacional</t>
  </si>
  <si>
    <t>Monitoramento Ecológico</t>
  </si>
  <si>
    <t>Status Geral</t>
  </si>
  <si>
    <t>% Geral</t>
  </si>
  <si>
    <t>Áreas com coleta concluída</t>
  </si>
  <si>
    <t>Não iniciadas</t>
  </si>
  <si>
    <t>Hectares com coleta concluída</t>
  </si>
  <si>
    <t>Áreas com manutenção concluída</t>
  </si>
  <si>
    <t>Áreas com irrigação concluída</t>
  </si>
  <si>
    <t>Atrasadas</t>
  </si>
  <si>
    <t>Manutenção Basica</t>
  </si>
  <si>
    <t>LEGENDA</t>
  </si>
  <si>
    <t>Execução marcado em Amarelo na coluna B</t>
  </si>
  <si>
    <t>Conclusão marcado em Verde na coluna B</t>
  </si>
  <si>
    <t>Atividade Vermelho interrompida na Coluna B</t>
  </si>
  <si>
    <t>Enviado 06/08/2026</t>
  </si>
  <si>
    <t>Programação Quinzenal Nº 01 - Data: 06/08/2026</t>
  </si>
  <si>
    <t>Reunião Quinzenal</t>
  </si>
  <si>
    <t>Suspenso</t>
  </si>
  <si>
    <t>Não aplicável</t>
  </si>
  <si>
    <t xml:space="preserve">Questões Fundiarias </t>
  </si>
  <si>
    <t>Áreas Consolidadas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</si>
</sst>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\ &quot;de 38&quot;"/>
    <numFmt numFmtId="165" formatCode="0.00\ &quot;ha&quot;"/>
    <numFmt numFmtId="166" formatCode="0\ &quot;de 3&quot;"/>
    <numFmt numFmtId="167" formatCode="0\ &quot;dias&quot;"/>
    <numFmt numFmtId="168" formatCode="0.0%"/>
    <numFmt numFmtId="169" formatCode=";;;"/>
  </numFmts>
  <fonts count="26" x14ac:knownFonts="1">
    <font>
      <sz val="11"/>
      <color theme="1"/>
      <name val="Calibri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6"/>
      <color rgb="FFFFFFFF"/>
      <name val="Calibri"/>
      <family val="2"/>
    </font>
    <font>
      <b/>
      <sz val="18"/>
      <color rgb="FFFFFFFF"/>
      <name val="Calibri"/>
      <family val="2"/>
    </font>
    <font>
      <i/>
      <sz val="11"/>
      <color rgb="FFFFFFFF"/>
      <name val="Calibri"/>
      <family val="2"/>
    </font>
    <font>
      <b/>
      <sz val="22"/>
      <color rgb="FF173A2B"/>
      <name val="Calibri"/>
      <family val="2"/>
    </font>
    <font>
      <b/>
      <sz val="18"/>
      <color rgb="FF173A2B"/>
      <name val="Calibri"/>
      <family val="2"/>
    </font>
    <font>
      <b/>
      <sz val="11"/>
      <color rgb="FF1F2937"/>
      <name val="Calibri"/>
      <family val="2"/>
    </font>
    <font>
      <b/>
      <sz val="12"/>
      <color rgb="FF7F6000"/>
      <name val="Calibri"/>
      <family val="2"/>
    </font>
    <font>
      <b/>
      <sz val="11"/>
      <color rgb="FF374151"/>
      <name val="Calibri"/>
      <family val="2"/>
    </font>
    <font>
      <b/>
      <i/>
      <sz val="8"/>
      <color rgb="FF4B5563"/>
      <name val="Calibri"/>
      <family val="2"/>
    </font>
    <font>
      <i/>
      <sz val="8"/>
      <color rgb="FF4B5563"/>
      <name val="Calibri"/>
      <family val="2"/>
    </font>
    <font>
      <b/>
      <sz val="14"/>
      <color rgb="FFFFFFFF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Verdana"/>
      <family val="2"/>
    </font>
  </fonts>
  <fills count="3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39997558519241921"/>
        <bgColor indexed="65"/>
      </patternFill>
    </fill>
    <fill>
      <patternFill patternType="solid">
        <fgColor rgb="FFB2CDE1"/>
      </patternFill>
    </fill>
    <fill>
      <patternFill patternType="solid">
        <fgColor rgb="FFFF9999"/>
      </patternFill>
    </fill>
    <fill>
      <patternFill patternType="solid">
        <fgColor rgb="FFFFE599"/>
      </patternFill>
    </fill>
    <fill>
      <patternFill patternType="solid">
        <fgColor rgb="FFED7D31"/>
      </patternFill>
    </fill>
    <fill>
      <patternFill patternType="solid">
        <fgColor rgb="FFA8D08D"/>
      </patternFill>
    </fill>
    <fill>
      <patternFill patternType="solid">
        <fgColor rgb="FF2F75B5"/>
      </patternFill>
    </fill>
    <fill>
      <patternFill patternType="solid">
        <fgColor theme="4" tint="0.59996337778862885"/>
        <bgColor indexed="65"/>
      </patternFill>
    </fill>
    <fill>
      <patternFill patternType="solid">
        <fgColor theme="6" tint="0.59996337778862885"/>
        <bgColor indexed="65"/>
      </patternFill>
    </fill>
    <fill>
      <patternFill patternType="solid">
        <fgColor rgb="FFD9EAD3"/>
      </patternFill>
    </fill>
    <fill>
      <patternFill patternType="solid">
        <fgColor rgb="FF173A2B"/>
      </patternFill>
    </fill>
    <fill>
      <patternFill patternType="solid">
        <fgColor rgb="FF1F6E43"/>
      </patternFill>
    </fill>
    <fill>
      <patternFill patternType="solid">
        <fgColor rgb="FFE8F2EC"/>
      </patternFill>
    </fill>
    <fill>
      <patternFill patternType="solid">
        <fgColor rgb="FFF4F7F5"/>
      </patternFill>
    </fill>
    <fill>
      <patternFill patternType="solid">
        <fgColor rgb="FF1B5E20"/>
      </patternFill>
    </fill>
    <fill>
      <patternFill patternType="solid">
        <fgColor rgb="FFE8F5E9"/>
      </patternFill>
    </fill>
    <fill>
      <patternFill patternType="solid">
        <fgColor rgb="FFFFF2CC"/>
      </patternFill>
    </fill>
    <fill>
      <patternFill patternType="solid">
        <fgColor rgb="FFF3F4F6"/>
      </patternFill>
    </fill>
    <fill>
      <patternFill patternType="solid">
        <fgColor rgb="FF1B5E20"/>
      </patternFill>
    </fill>
    <fill>
      <patternFill patternType="solid">
        <fgColor rgb="FF2E7D32"/>
      </patternFill>
    </fill>
    <fill>
      <patternFill patternType="solid">
        <fgColor rgb="FFD9D9D9"/>
      </patternFill>
    </fill>
    <fill>
      <patternFill patternType="solid">
        <fgColor rgb="FFFFD966"/>
      </patternFill>
    </fill>
    <fill>
      <patternFill patternType="solid">
        <fgColor rgb="FF70AD47"/>
      </patternFill>
    </fill>
    <fill>
      <patternFill patternType="solid">
        <fgColor rgb="FFC00000"/>
      </patternFill>
    </fill>
    <fill>
      <patternFill patternType="solid">
        <fgColor rgb="FF5B9BD5"/>
      </patternFill>
    </fill>
    <fill>
      <patternFill patternType="solid">
        <fgColor rgb="FF33CC33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FFFF99"/>
        <bgColor indexed="64"/>
      </patternFill>
    </fill>
  </fills>
  <borders count="28">
    <border>
      <left/>
      <right/>
      <top/>
      <bottom/>
      <diagonal/>
    </border>
    <border>
      <left/>
      <right style="medium">
        <color rgb="FF00599C"/>
      </right>
      <top style="medium">
        <color rgb="FF00599C"/>
      </top>
      <bottom style="medium">
        <color rgb="FF00599C"/>
      </bottom>
      <diagonal/>
    </border>
    <border>
      <left style="medium">
        <color rgb="FF00599C"/>
      </left>
      <right style="medium">
        <color rgb="FF00599C"/>
      </right>
      <top/>
      <bottom style="medium">
        <color rgb="FF00599C"/>
      </bottom>
      <diagonal/>
    </border>
    <border>
      <left/>
      <right style="medium">
        <color rgb="FF00599C"/>
      </right>
      <top/>
      <bottom style="medium">
        <color rgb="FF00599C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theme="4" tint="-0.249977111117893"/>
      </left>
      <right style="medium">
        <color theme="4" tint="-0.249977111117893"/>
      </right>
      <top style="medium">
        <color theme="4" tint="-0.249977111117893"/>
      </top>
      <bottom style="medium">
        <color theme="4" tint="-0.249977111117893"/>
      </bottom>
      <diagonal/>
    </border>
    <border>
      <left/>
      <right style="medium">
        <color theme="4" tint="-0.49995422223578601"/>
      </right>
      <top style="medium">
        <color rgb="FF00599C"/>
      </top>
      <bottom style="medium">
        <color rgb="FF00599C"/>
      </bottom>
      <diagonal/>
    </border>
    <border>
      <left/>
      <right style="medium">
        <color theme="4" tint="-0.49995422223578601"/>
      </right>
      <top style="medium">
        <color theme="4" tint="-0.49995422223578601"/>
      </top>
      <bottom style="medium">
        <color theme="4" tint="-0.49995422223578601"/>
      </bottom>
      <diagonal/>
    </border>
    <border>
      <left/>
      <right/>
      <top/>
      <bottom style="medium">
        <color rgb="FF00599C"/>
      </bottom>
      <diagonal/>
    </border>
    <border>
      <left style="medium">
        <color theme="4" tint="-0.49995422223578601"/>
      </left>
      <right style="medium">
        <color theme="4" tint="-0.49995422223578601"/>
      </right>
      <top style="medium">
        <color theme="4" tint="-0.49995422223578601"/>
      </top>
      <bottom style="medium">
        <color theme="4" tint="-0.49995422223578601"/>
      </bottom>
      <diagonal/>
    </border>
    <border>
      <left style="medium">
        <color rgb="FF00599C"/>
      </left>
      <right style="medium">
        <color rgb="FF00599C"/>
      </right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/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n">
        <color indexed="64"/>
      </bottom>
      <diagonal/>
    </border>
    <border>
      <left/>
      <right/>
      <top style="medium">
        <color rgb="FFFFFFFF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599C"/>
      </left>
      <right style="medium">
        <color rgb="FF00599C"/>
      </right>
      <top style="medium">
        <color rgb="FF00599C"/>
      </top>
      <bottom style="medium">
        <color rgb="FF00599C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/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37">
    <xf numFmtId="0" fontId="0" fillId="0" borderId="0" xfId="0"/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5" borderId="7" xfId="1" applyFont="1" applyFill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6" borderId="9" xfId="1" applyFont="1" applyFill="1" applyBorder="1" applyAlignment="1">
      <alignment horizontal="center" vertical="center"/>
    </xf>
    <xf numFmtId="0" fontId="6" fillId="7" borderId="9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9" borderId="15" xfId="0" applyFont="1" applyFill="1" applyBorder="1" applyAlignment="1">
      <alignment horizontal="center" vertical="center"/>
    </xf>
    <xf numFmtId="0" fontId="6" fillId="0" borderId="18" xfId="0" applyFont="1" applyBorder="1" applyAlignment="1">
      <alignment vertical="center" wrapText="1"/>
    </xf>
    <xf numFmtId="0" fontId="6" fillId="9" borderId="19" xfId="0" applyFont="1" applyFill="1" applyBorder="1" applyAlignment="1">
      <alignment vertical="center"/>
    </xf>
    <xf numFmtId="0" fontId="6" fillId="0" borderId="20" xfId="0" applyFont="1" applyBorder="1" applyAlignment="1">
      <alignment vertical="center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6" fillId="9" borderId="0" xfId="0" applyFont="1" applyFill="1" applyAlignment="1">
      <alignment vertical="center"/>
    </xf>
    <xf numFmtId="0" fontId="6" fillId="10" borderId="22" xfId="0" applyFont="1" applyFill="1" applyBorder="1" applyAlignment="1">
      <alignment vertical="center"/>
    </xf>
    <xf numFmtId="0" fontId="6" fillId="11" borderId="22" xfId="0" applyFont="1" applyFill="1" applyBorder="1" applyAlignment="1">
      <alignment vertical="center"/>
    </xf>
    <xf numFmtId="0" fontId="6" fillId="10" borderId="19" xfId="0" applyFont="1" applyFill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8" fillId="9" borderId="22" xfId="0" applyFont="1" applyFill="1" applyBorder="1" applyAlignment="1">
      <alignment vertical="center"/>
    </xf>
    <xf numFmtId="0" fontId="9" fillId="12" borderId="0" xfId="0" applyFont="1" applyFill="1"/>
    <xf numFmtId="0" fontId="10" fillId="0" borderId="0" xfId="0" applyFont="1"/>
    <xf numFmtId="14" fontId="0" fillId="0" borderId="0" xfId="0" applyNumberFormat="1"/>
    <xf numFmtId="0" fontId="1" fillId="14" borderId="0" xfId="0" applyFont="1" applyFill="1" applyAlignment="1">
      <alignment horizontal="center" wrapText="1"/>
    </xf>
    <xf numFmtId="9" fontId="0" fillId="0" borderId="0" xfId="0" applyNumberFormat="1"/>
    <xf numFmtId="1" fontId="17" fillId="19" borderId="0" xfId="0" applyNumberFormat="1" applyFont="1" applyFill="1" applyAlignment="1">
      <alignment horizontal="center" vertical="center"/>
    </xf>
    <xf numFmtId="2" fontId="17" fillId="19" borderId="0" xfId="0" applyNumberFormat="1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168" fontId="18" fillId="20" borderId="0" xfId="0" applyNumberFormat="1" applyFont="1" applyFill="1" applyAlignment="1">
      <alignment horizontal="center" vertical="center"/>
    </xf>
    <xf numFmtId="0" fontId="19" fillId="14" borderId="0" xfId="0" applyFont="1" applyFill="1"/>
    <xf numFmtId="0" fontId="20" fillId="0" borderId="0" xfId="0" applyFont="1"/>
    <xf numFmtId="0" fontId="1" fillId="2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22" borderId="0" xfId="0" applyFont="1" applyFill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3" fillId="0" borderId="0" xfId="0" applyFont="1"/>
    <xf numFmtId="0" fontId="23" fillId="0" borderId="0" xfId="0" applyFont="1" applyAlignment="1">
      <alignment horizontal="center"/>
    </xf>
    <xf numFmtId="0" fontId="23" fillId="0" borderId="0" xfId="0" applyFont="1" applyAlignment="1">
      <alignment horizontal="left"/>
    </xf>
    <xf numFmtId="0" fontId="1" fillId="14" borderId="0" xfId="0" applyFont="1" applyFill="1" applyAlignment="1">
      <alignment horizontal="center"/>
    </xf>
    <xf numFmtId="0" fontId="1" fillId="22" borderId="0" xfId="0" applyFont="1" applyFill="1" applyAlignment="1">
      <alignment horizontal="left" vertical="center" wrapText="1"/>
    </xf>
    <xf numFmtId="0" fontId="0" fillId="0" borderId="0" xfId="0" applyAlignment="1">
      <alignment horizontal="left"/>
    </xf>
    <xf numFmtId="14" fontId="23" fillId="0" borderId="0" xfId="0" applyNumberFormat="1" applyFont="1" applyAlignment="1">
      <alignment horizontal="center"/>
    </xf>
    <xf numFmtId="0" fontId="24" fillId="0" borderId="0" xfId="0" applyFont="1" applyAlignment="1">
      <alignment horizontal="center"/>
    </xf>
    <xf numFmtId="0" fontId="24" fillId="23" borderId="0" xfId="0" applyFont="1" applyFill="1" applyAlignment="1">
      <alignment horizontal="left"/>
    </xf>
    <xf numFmtId="0" fontId="24" fillId="24" borderId="0" xfId="0" applyFont="1" applyFill="1" applyAlignment="1">
      <alignment horizontal="center"/>
    </xf>
    <xf numFmtId="0" fontId="24" fillId="25" borderId="0" xfId="0" applyFont="1" applyFill="1" applyAlignment="1">
      <alignment horizontal="center"/>
    </xf>
    <xf numFmtId="0" fontId="24" fillId="26" borderId="0" xfId="0" applyFont="1" applyFill="1" applyAlignment="1">
      <alignment horizontal="center"/>
    </xf>
    <xf numFmtId="0" fontId="24" fillId="27" borderId="0" xfId="0" applyFont="1" applyFill="1" applyAlignment="1">
      <alignment horizontal="center"/>
    </xf>
    <xf numFmtId="0" fontId="7" fillId="22" borderId="0" xfId="0" applyFont="1" applyFill="1" applyAlignment="1">
      <alignment horizontal="center" vertical="center" wrapText="1"/>
    </xf>
    <xf numFmtId="17" fontId="7" fillId="22" borderId="0" xfId="0" applyNumberFormat="1" applyFont="1" applyFill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2" fontId="23" fillId="0" borderId="0" xfId="0" applyNumberFormat="1" applyFont="1" applyAlignment="1">
      <alignment horizontal="center" wrapText="1"/>
    </xf>
    <xf numFmtId="14" fontId="23" fillId="0" borderId="0" xfId="0" applyNumberFormat="1" applyFont="1" applyAlignment="1">
      <alignment horizontal="center" wrapText="1"/>
    </xf>
    <xf numFmtId="168" fontId="23" fillId="0" borderId="0" xfId="0" applyNumberFormat="1" applyFont="1" applyAlignment="1">
      <alignment horizontal="center" wrapText="1"/>
    </xf>
    <xf numFmtId="0" fontId="6" fillId="0" borderId="25" xfId="0" applyFont="1" applyBorder="1" applyAlignment="1">
      <alignment horizontal="center" vertical="center"/>
    </xf>
    <xf numFmtId="0" fontId="6" fillId="7" borderId="25" xfId="1" applyFont="1" applyFill="1" applyBorder="1" applyAlignment="1">
      <alignment horizontal="center" vertical="center"/>
    </xf>
    <xf numFmtId="2" fontId="6" fillId="0" borderId="25" xfId="0" applyNumberFormat="1" applyFont="1" applyBorder="1" applyAlignment="1">
      <alignment horizontal="center" vertical="center"/>
    </xf>
    <xf numFmtId="0" fontId="6" fillId="8" borderId="25" xfId="1" applyFont="1" applyFill="1" applyBorder="1" applyAlignment="1">
      <alignment horizontal="center" vertical="center"/>
    </xf>
    <xf numFmtId="168" fontId="23" fillId="0" borderId="0" xfId="0" applyNumberFormat="1" applyFont="1" applyAlignment="1">
      <alignment horizontal="center"/>
    </xf>
    <xf numFmtId="0" fontId="6" fillId="5" borderId="25" xfId="1" applyFont="1" applyFill="1" applyBorder="1" applyAlignment="1">
      <alignment horizontal="center" vertical="center"/>
    </xf>
    <xf numFmtId="0" fontId="6" fillId="6" borderId="25" xfId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0" fontId="22" fillId="0" borderId="0" xfId="0" applyFont="1" applyAlignment="1">
      <alignment horizontal="center"/>
    </xf>
    <xf numFmtId="0" fontId="9" fillId="12" borderId="0" xfId="0" applyFont="1" applyFill="1" applyAlignment="1">
      <alignment horizontal="center"/>
    </xf>
    <xf numFmtId="0" fontId="0" fillId="30" borderId="4" xfId="0" applyFill="1" applyBorder="1" applyAlignment="1">
      <alignment horizontal="center" vertical="center"/>
    </xf>
    <xf numFmtId="0" fontId="6" fillId="30" borderId="5" xfId="0" applyFont="1" applyFill="1" applyBorder="1" applyAlignment="1">
      <alignment horizontal="center" vertical="center"/>
    </xf>
    <xf numFmtId="2" fontId="23" fillId="0" borderId="0" xfId="0" applyNumberFormat="1" applyFont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6" xfId="0" applyFont="1" applyBorder="1" applyAlignment="1">
      <alignment horizontal="left" wrapText="1"/>
    </xf>
    <xf numFmtId="14" fontId="23" fillId="0" borderId="26" xfId="0" applyNumberFormat="1" applyFont="1" applyBorder="1" applyAlignment="1">
      <alignment horizontal="center"/>
    </xf>
    <xf numFmtId="14" fontId="23" fillId="0" borderId="26" xfId="0" applyNumberFormat="1" applyFont="1" applyBorder="1"/>
    <xf numFmtId="169" fontId="0" fillId="0" borderId="26" xfId="0" applyNumberFormat="1" applyBorder="1"/>
    <xf numFmtId="0" fontId="23" fillId="0" borderId="26" xfId="0" applyFont="1" applyBorder="1" applyAlignment="1">
      <alignment horizontal="left"/>
    </xf>
    <xf numFmtId="0" fontId="23" fillId="0" borderId="26" xfId="0" applyFont="1" applyBorder="1"/>
    <xf numFmtId="0" fontId="0" fillId="0" borderId="26" xfId="0" applyBorder="1"/>
    <xf numFmtId="0" fontId="3" fillId="6" borderId="25" xfId="1" applyFill="1" applyBorder="1" applyAlignment="1">
      <alignment horizontal="center" vertical="center"/>
    </xf>
    <xf numFmtId="0" fontId="25" fillId="0" borderId="0" xfId="0" applyFont="1"/>
    <xf numFmtId="0" fontId="22" fillId="0" borderId="0" xfId="0" applyFont="1"/>
    <xf numFmtId="0" fontId="19" fillId="14" borderId="0" xfId="0" applyFont="1" applyFill="1" applyAlignment="1">
      <alignment horizontal="center"/>
    </xf>
    <xf numFmtId="168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28" borderId="4" xfId="0" applyFill="1" applyBorder="1" applyAlignment="1">
      <alignment horizontal="center" vertical="center"/>
    </xf>
    <xf numFmtId="0" fontId="12" fillId="13" borderId="0" xfId="0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168" fontId="14" fillId="15" borderId="0" xfId="0" applyNumberFormat="1" applyFont="1" applyFill="1" applyAlignment="1">
      <alignment horizontal="center" vertical="center"/>
    </xf>
    <xf numFmtId="0" fontId="14" fillId="15" borderId="0" xfId="0" applyFont="1" applyFill="1" applyAlignment="1">
      <alignment horizontal="center" vertical="center"/>
    </xf>
    <xf numFmtId="0" fontId="7" fillId="14" borderId="0" xfId="0" applyFont="1" applyFill="1" applyAlignment="1">
      <alignment horizontal="center"/>
    </xf>
    <xf numFmtId="164" fontId="14" fillId="15" borderId="0" xfId="0" applyNumberFormat="1" applyFont="1" applyFill="1" applyAlignment="1">
      <alignment horizontal="center" vertical="center"/>
    </xf>
    <xf numFmtId="165" fontId="14" fillId="15" borderId="0" xfId="0" applyNumberFormat="1" applyFont="1" applyFill="1" applyAlignment="1">
      <alignment horizontal="center" vertical="center"/>
    </xf>
    <xf numFmtId="166" fontId="14" fillId="15" borderId="0" xfId="0" applyNumberFormat="1" applyFont="1" applyFill="1" applyAlignment="1">
      <alignment horizontal="center" vertical="center"/>
    </xf>
    <xf numFmtId="167" fontId="14" fillId="15" borderId="0" xfId="0" applyNumberFormat="1" applyFont="1" applyFill="1" applyAlignment="1">
      <alignment horizontal="center" vertical="center"/>
    </xf>
    <xf numFmtId="1" fontId="14" fillId="15" borderId="0" xfId="0" applyNumberFormat="1" applyFont="1" applyFill="1" applyAlignment="1">
      <alignment horizontal="center" vertical="center"/>
    </xf>
    <xf numFmtId="0" fontId="18" fillId="20" borderId="0" xfId="0" applyFont="1" applyFill="1" applyAlignment="1">
      <alignment horizontal="center" vertical="center"/>
    </xf>
    <xf numFmtId="2" fontId="18" fillId="20" borderId="0" xfId="0" applyNumberFormat="1" applyFont="1" applyFill="1" applyAlignment="1">
      <alignment horizontal="center" vertical="center"/>
    </xf>
    <xf numFmtId="0" fontId="1" fillId="13" borderId="0" xfId="0" applyFont="1" applyFill="1" applyAlignment="1">
      <alignment horizontal="center"/>
    </xf>
    <xf numFmtId="168" fontId="15" fillId="16" borderId="0" xfId="0" applyNumberFormat="1" applyFont="1" applyFill="1" applyAlignment="1">
      <alignment horizontal="center" vertical="center"/>
    </xf>
    <xf numFmtId="9" fontId="15" fillId="16" borderId="0" xfId="0" applyNumberFormat="1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6" fillId="18" borderId="0" xfId="0" applyFont="1" applyFill="1" applyAlignment="1">
      <alignment horizontal="center" vertical="center"/>
    </xf>
    <xf numFmtId="0" fontId="7" fillId="9" borderId="11" xfId="0" applyFont="1" applyFill="1" applyBorder="1" applyAlignment="1">
      <alignment horizontal="center" vertical="center"/>
    </xf>
    <xf numFmtId="0" fontId="0" fillId="0" borderId="12" xfId="0" applyBorder="1"/>
    <xf numFmtId="0" fontId="7" fillId="9" borderId="24" xfId="0" applyFont="1" applyFill="1" applyBorder="1" applyAlignment="1">
      <alignment horizontal="center" vertical="center"/>
    </xf>
    <xf numFmtId="0" fontId="0" fillId="0" borderId="14" xfId="0" applyBorder="1"/>
    <xf numFmtId="0" fontId="7" fillId="9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3" xfId="0" applyBorder="1"/>
    <xf numFmtId="0" fontId="6" fillId="0" borderId="23" xfId="0" applyFont="1" applyBorder="1" applyAlignment="1">
      <alignment horizontal="center" vertical="center"/>
    </xf>
    <xf numFmtId="0" fontId="0" fillId="0" borderId="10" xfId="0" applyBorder="1"/>
    <xf numFmtId="0" fontId="0" fillId="0" borderId="2" xfId="0" applyBorder="1"/>
    <xf numFmtId="0" fontId="4" fillId="0" borderId="8" xfId="0" applyFont="1" applyBorder="1" applyAlignment="1">
      <alignment horizontal="center"/>
    </xf>
    <xf numFmtId="0" fontId="0" fillId="0" borderId="8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0" borderId="23" xfId="0" applyFont="1" applyBorder="1" applyAlignment="1">
      <alignment horizontal="center" vertical="center"/>
    </xf>
    <xf numFmtId="0" fontId="24" fillId="30" borderId="27" xfId="0" applyFont="1" applyFill="1" applyBorder="1" applyAlignment="1">
      <alignment horizontal="center" wrapText="1"/>
    </xf>
    <xf numFmtId="0" fontId="24" fillId="30" borderId="25" xfId="0" applyFont="1" applyFill="1" applyBorder="1" applyAlignment="1">
      <alignment horizontal="center" wrapText="1"/>
    </xf>
    <xf numFmtId="0" fontId="24" fillId="28" borderId="27" xfId="0" applyFont="1" applyFill="1" applyBorder="1" applyAlignment="1">
      <alignment horizontal="center" wrapText="1"/>
    </xf>
    <xf numFmtId="0" fontId="24" fillId="28" borderId="25" xfId="0" applyFont="1" applyFill="1" applyBorder="1" applyAlignment="1">
      <alignment horizontal="center" wrapText="1"/>
    </xf>
    <xf numFmtId="0" fontId="24" fillId="29" borderId="27" xfId="0" applyFont="1" applyFill="1" applyBorder="1" applyAlignment="1">
      <alignment horizontal="center"/>
    </xf>
    <xf numFmtId="0" fontId="24" fillId="29" borderId="25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/>
    </xf>
    <xf numFmtId="0" fontId="21" fillId="21" borderId="0" xfId="0" applyFont="1" applyFill="1" applyAlignment="1">
      <alignment horizontal="center" vertical="center"/>
    </xf>
    <xf numFmtId="0" fontId="21" fillId="21" borderId="0" xfId="0" applyFont="1" applyFill="1" applyAlignment="1">
      <alignment horizontal="center"/>
    </xf>
  </cellXfs>
  <cellStyles count="2">
    <cellStyle name="Normal" xfId="0" builtinId="0"/>
    <cellStyle name="Normal 3 2" xfId="1" xr:uid="{00000000-0005-0000-0000-000001000000}"/>
  </cellStyles>
  <dxfs count="34">
    <dxf>
      <font>
        <b/>
        <color rgb="FF1F4E78"/>
      </font>
      <fill>
        <patternFill>
          <bgColor rgb="FFD9EA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5B9BD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D9D9D9"/>
        </patternFill>
      </fill>
    </dxf>
    <dxf>
      <fill>
        <patternFill patternType="solid">
          <bgColor rgb="FF5B9BD5"/>
        </patternFill>
      </fill>
    </dxf>
    <dxf>
      <fill>
        <patternFill patternType="solid">
          <bgColor rgb="FFC00000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D9D9D9"/>
        </patternFill>
      </fill>
    </dxf>
    <dxf>
      <font>
        <b/>
        <color rgb="FF1F4E78"/>
      </font>
      <fill>
        <patternFill>
          <bgColor rgb="FFD9EAF7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font>
        <sz val="10"/>
        <color rgb="FF000000"/>
        <family val="2"/>
      </font>
      <numFmt numFmtId="2" formatCode="0.00"/>
      <alignment horizontal="center" vertical="center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colors>
    <mruColors>
      <color rgb="FF33CC3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Velocímetro 0–100%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v>Valor</c:v>
          </c:tx>
          <c:cat>
            <c:strRef>
              <c:f>'Dashboard Executivo'!$G$19:$G$20</c:f>
              <c:strCache>
                <c:ptCount val="2"/>
                <c:pt idx="0">
                  <c:v>Executado</c:v>
                </c:pt>
                <c:pt idx="1">
                  <c:v>Restante</c:v>
                </c:pt>
              </c:strCache>
            </c:strRef>
          </c:cat>
          <c:val>
            <c:numRef>
              <c:f>'Dashboard Executivo'!$H$19:$H$20</c:f>
              <c:numCache>
                <c:formatCode>0.0%</c:formatCode>
                <c:ptCount val="2"/>
                <c:pt idx="0">
                  <c:v>0.85074454939577349</c:v>
                </c:pt>
                <c:pt idx="1">
                  <c:v>0.14925545060422651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1-4832-A4F5-16E5DB235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0"/>
      </c:doughnutChart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Avanço por atividade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%</c:v>
          </c:tx>
          <c:invertIfNegative val="1"/>
          <c:cat>
            <c:strRef>
              <c:f>'Dashboard Executivo'!$D$19:$D$21</c:f>
              <c:strCache>
                <c:ptCount val="3"/>
                <c:pt idx="0">
                  <c:v>Áreas concluídas</c:v>
                </c:pt>
                <c:pt idx="1">
                  <c:v>Avanço em hectares</c:v>
                </c:pt>
                <c:pt idx="2">
                  <c:v>Canteiro principal</c:v>
                </c:pt>
              </c:strCache>
            </c:strRef>
          </c:cat>
          <c:val>
            <c:numRef>
              <c:f>'Dashboard Executivo'!$E$19:$E$21</c:f>
              <c:numCache>
                <c:formatCode>0.0%</c:formatCode>
                <c:ptCount val="3"/>
                <c:pt idx="0">
                  <c:v>0.86842105263157898</c:v>
                </c:pt>
                <c:pt idx="1">
                  <c:v>0.8330680461599681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AC-4FA5-AE2D-AA70B6228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Distribuição por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Quantidade</c:v>
          </c:tx>
          <c:invertIfNegative val="1"/>
          <c:cat>
            <c:strRef>
              <c:f>'Dashboard Executivo'!$A$19:$A$22</c:f>
              <c:strCache>
                <c:ptCount val="4"/>
                <c:pt idx="0">
                  <c:v>Não iniciado</c:v>
                </c:pt>
                <c:pt idx="1">
                  <c:v>Em andamento</c:v>
                </c:pt>
                <c:pt idx="2">
                  <c:v>Concluído</c:v>
                </c:pt>
                <c:pt idx="3">
                  <c:v>Prorrogado/Atrasado</c:v>
                </c:pt>
              </c:strCache>
            </c:strRef>
          </c:cat>
          <c:val>
            <c:numRef>
              <c:f>'Dashboard Executivo'!$B$19:$B$22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02-475C-81BE-6586C20A9F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Evolução quinzenal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Planejado</c:v>
          </c:tx>
          <c:cat>
            <c:numRef>
              <c:f>'Dashboard Executivo'!$D$42:$D$44</c:f>
              <c:numCache>
                <c:formatCode>m/d/yy</c:formatCode>
                <c:ptCount val="3"/>
                <c:pt idx="0">
                  <c:v>46249</c:v>
                </c:pt>
                <c:pt idx="1">
                  <c:v>46265</c:v>
                </c:pt>
                <c:pt idx="2">
                  <c:v>46280</c:v>
                </c:pt>
              </c:numCache>
            </c:numRef>
          </c:cat>
          <c:val>
            <c:numRef>
              <c:f>'Dashboard Executivo'!$E$42:$E$44</c:f>
              <c:numCache>
                <c:formatCode>0%</c:formatCode>
                <c:ptCount val="3"/>
                <c:pt idx="0">
                  <c:v>0.5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33-4241-9657-86349B48C6ED}"/>
            </c:ext>
          </c:extLst>
        </c:ser>
        <c:ser>
          <c:idx val="1"/>
          <c:order val="1"/>
          <c:tx>
            <c:v>Realizado</c:v>
          </c:tx>
          <c:cat>
            <c:numRef>
              <c:f>'Dashboard Executivo'!$D$42:$D$44</c:f>
              <c:numCache>
                <c:formatCode>m/d/yy</c:formatCode>
                <c:ptCount val="3"/>
                <c:pt idx="0">
                  <c:v>46249</c:v>
                </c:pt>
                <c:pt idx="1">
                  <c:v>46265</c:v>
                </c:pt>
                <c:pt idx="2">
                  <c:v>46280</c:v>
                </c:pt>
              </c:numCache>
            </c:numRef>
          </c:cat>
          <c:val>
            <c:numRef>
              <c:f>'Dashboard Executivo'!$F$42:$F$44</c:f>
              <c:numCache>
                <c:formatCode>0%</c:formatCode>
                <c:ptCount val="3"/>
                <c:pt idx="0">
                  <c:v>0.94736842105263153</c:v>
                </c:pt>
                <c:pt idx="1">
                  <c:v>0.78947368421052633</c:v>
                </c:pt>
                <c:pt idx="2">
                  <c:v>0.64575435803994663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33-4241-9657-86349B48C6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/d/yy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day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14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40</xdr:row>
      <xdr:rowOff>0</xdr:rowOff>
    </xdr:from>
    <xdr:to>
      <xdr:col>6</xdr:col>
      <xdr:colOff>0</xdr:colOff>
      <xdr:row>56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40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ejamentoTable" displayName="PlanejamentoTable" ref="A3:N100">
  <tableColumns count="14">
    <tableColumn id="1" xr3:uid="{00000000-0010-0000-0000-000001000000}" name="ID" dataDxfId="33"/>
    <tableColumn id="2" xr3:uid="{00000000-0010-0000-0000-000002000000}" name="Atividade"/>
    <tableColumn id="3" xr3:uid="{00000000-0010-0000-0000-000003000000}" name="Unidade"/>
    <tableColumn id="4" xr3:uid="{00000000-0010-0000-0000-000004000000}" name="Meta"/>
    <tableColumn id="5" xr3:uid="{00000000-0010-0000-0000-000005000000}" name="Início"/>
    <tableColumn id="6" xr3:uid="{00000000-0010-0000-0000-000006000000}" name="Término Previsto"/>
    <tableColumn id="7" xr3:uid="{00000000-0010-0000-0000-000007000000}" name="Término Real"/>
    <tableColumn id="8" xr3:uid="{00000000-0010-0000-0000-000008000000}" name="Nova Data"/>
    <tableColumn id="9" xr3:uid="{00000000-0010-0000-0000-000009000000}" name="Responsável"/>
    <tableColumn id="10" xr3:uid="{00000000-0010-0000-0000-00000A000000}" name="Status" dataDxfId="32"/>
    <tableColumn id="11" xr3:uid="{00000000-0010-0000-0000-00000B000000}" name="% Concluído" dataDxfId="31"/>
    <tableColumn id="12" xr3:uid="{00000000-0010-0000-0000-00000C000000}" name="Executado" dataDxfId="30"/>
    <tableColumn id="13" xr3:uid="{00000000-0010-0000-0000-00000D000000}" name="Saldo" dataDxfId="29"/>
    <tableColumn id="14" xr3:uid="{00000000-0010-0000-0000-00000E000000}" name="Observaçõ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reasTable" displayName="AreasTable" ref="A3:L41">
  <tableColumns count="12">
    <tableColumn id="1" xr3:uid="{00000000-0010-0000-0100-000001000000}" name="Área" dataDxfId="28"/>
    <tableColumn id="2" xr3:uid="{00000000-0010-0000-0100-000002000000}" name="Área (ha)" dataDxfId="27"/>
    <tableColumn id="3" xr3:uid="{00000000-0010-0000-0100-000003000000}" name="Data prevista" dataDxfId="26"/>
    <tableColumn id="4" xr3:uid="{00000000-0010-0000-0100-000004000000}" name="Data realizada" dataDxfId="25"/>
    <tableColumn id="5" xr3:uid="{00000000-0010-0000-0100-000005000000}" name="Responsável" dataDxfId="24"/>
    <tableColumn id="6" xr3:uid="{00000000-0010-0000-0100-000006000000}" name="Status" dataDxfId="23"/>
    <tableColumn id="7" xr3:uid="{00000000-0010-0000-0100-000007000000}" name="% Concluído" dataDxfId="22"/>
    <tableColumn id="8" xr3:uid="{00000000-0010-0000-0100-000008000000}" name="Quinzena" dataDxfId="21"/>
    <tableColumn id="9" xr3:uid="{00000000-0010-0000-0100-000009000000}" name="Resultado/Protocolo"/>
    <tableColumn id="10" xr3:uid="{00000000-0010-0000-0100-00000A000000}" name="Pendência"/>
    <tableColumn id="11" xr3:uid="{00000000-0010-0000-0100-00000B000000}" name="Observação"/>
    <tableColumn id="12" xr3:uid="{00000000-0010-0000-0100-00000C000000}" name="Prorrog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5"/>
  <sheetViews>
    <sheetView workbookViewId="0">
      <selection activeCell="H17" sqref="H17"/>
    </sheetView>
  </sheetViews>
  <sheetFormatPr baseColWidth="10" defaultColWidth="8.83203125" defaultRowHeight="15" x14ac:dyDescent="0.2"/>
  <cols>
    <col min="1" max="1" width="42.5" customWidth="1"/>
    <col min="2" max="3" width="5.33203125" customWidth="1"/>
    <col min="4" max="4" width="5.6640625" customWidth="1"/>
    <col min="5" max="5" width="4.83203125" customWidth="1"/>
    <col min="6" max="6" width="5.33203125" customWidth="1"/>
    <col min="7" max="7" width="6.1640625" customWidth="1"/>
    <col min="8" max="8" width="5.5" customWidth="1"/>
    <col min="9" max="10" width="5.6640625" customWidth="1"/>
    <col min="11" max="11" width="6.1640625" customWidth="1"/>
    <col min="12" max="12" width="5.83203125" customWidth="1"/>
    <col min="13" max="13" width="6.1640625" customWidth="1"/>
    <col min="14" max="14" width="6.83203125" customWidth="1"/>
    <col min="15" max="15" width="5.83203125" customWidth="1"/>
    <col min="16" max="16" width="5.6640625" customWidth="1"/>
    <col min="17" max="17" width="5.33203125" customWidth="1"/>
    <col min="18" max="18" width="5.1640625" customWidth="1"/>
    <col min="19" max="19" width="5.5" customWidth="1"/>
    <col min="20" max="21" width="5.83203125" customWidth="1"/>
    <col min="22" max="22" width="4.6640625" customWidth="1"/>
    <col min="23" max="23" width="5.33203125" customWidth="1"/>
    <col min="24" max="24" width="5" customWidth="1"/>
    <col min="25" max="25" width="9.1640625" customWidth="1"/>
  </cols>
  <sheetData>
    <row r="1" spans="1:25" ht="15.75" customHeight="1" thickBot="1" x14ac:dyDescent="0.25"/>
    <row r="2" spans="1:25" ht="15.75" customHeight="1" thickBot="1" x14ac:dyDescent="0.25">
      <c r="A2" s="114" t="s">
        <v>9</v>
      </c>
      <c r="B2" s="112">
        <v>2026</v>
      </c>
      <c r="C2" s="113"/>
      <c r="D2" s="113"/>
      <c r="E2" s="113"/>
      <c r="F2" s="113"/>
      <c r="G2" s="114">
        <v>2027</v>
      </c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8"/>
      <c r="S2" s="112">
        <v>2028</v>
      </c>
      <c r="T2" s="113"/>
      <c r="U2" s="113"/>
      <c r="V2" s="113"/>
      <c r="W2" s="113"/>
      <c r="X2" s="113"/>
      <c r="Y2" s="113"/>
    </row>
    <row r="3" spans="1:25" ht="15.75" customHeight="1" thickBot="1" x14ac:dyDescent="0.25">
      <c r="A3" s="115"/>
      <c r="B3" s="20" t="s">
        <v>106</v>
      </c>
      <c r="C3" s="20" t="s">
        <v>107</v>
      </c>
      <c r="D3" s="20" t="s">
        <v>108</v>
      </c>
      <c r="E3" s="20" t="s">
        <v>109</v>
      </c>
      <c r="F3" s="20" t="s">
        <v>110</v>
      </c>
      <c r="G3" s="20" t="s">
        <v>111</v>
      </c>
      <c r="H3" s="20" t="s">
        <v>112</v>
      </c>
      <c r="I3" s="20" t="s">
        <v>113</v>
      </c>
      <c r="J3" s="20" t="s">
        <v>114</v>
      </c>
      <c r="K3" s="20" t="s">
        <v>115</v>
      </c>
      <c r="L3" s="20" t="s">
        <v>116</v>
      </c>
      <c r="M3" s="20" t="s">
        <v>117</v>
      </c>
      <c r="N3" s="20" t="s">
        <v>106</v>
      </c>
      <c r="O3" s="20" t="s">
        <v>107</v>
      </c>
      <c r="P3" s="20" t="s">
        <v>108</v>
      </c>
      <c r="Q3" s="20" t="s">
        <v>109</v>
      </c>
      <c r="R3" s="20" t="s">
        <v>110</v>
      </c>
      <c r="S3" s="20" t="s">
        <v>111</v>
      </c>
      <c r="T3" s="20" t="s">
        <v>112</v>
      </c>
      <c r="U3" s="20" t="s">
        <v>113</v>
      </c>
      <c r="V3" s="20" t="s">
        <v>114</v>
      </c>
      <c r="W3" s="20" t="s">
        <v>115</v>
      </c>
      <c r="X3" s="20" t="s">
        <v>116</v>
      </c>
      <c r="Y3" s="20" t="s">
        <v>117</v>
      </c>
    </row>
    <row r="4" spans="1:25" x14ac:dyDescent="0.2">
      <c r="A4" s="116" t="s">
        <v>118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7"/>
    </row>
    <row r="5" spans="1:25" x14ac:dyDescent="0.2">
      <c r="A5" s="21" t="s">
        <v>119</v>
      </c>
      <c r="B5" s="22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spans="1:25" ht="15.75" customHeight="1" thickBot="1" x14ac:dyDescent="0.25">
      <c r="A6" s="24" t="s">
        <v>120</v>
      </c>
      <c r="B6" s="22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</row>
    <row r="7" spans="1:25" ht="15.75" customHeight="1" thickBot="1" x14ac:dyDescent="0.25">
      <c r="A7" s="24" t="s">
        <v>26</v>
      </c>
      <c r="B7" s="26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</row>
    <row r="8" spans="1:25" ht="15.75" customHeight="1" thickBot="1" x14ac:dyDescent="0.25">
      <c r="A8" s="24" t="s">
        <v>121</v>
      </c>
      <c r="B8" s="25"/>
      <c r="C8" s="25"/>
      <c r="D8" s="25"/>
      <c r="E8" s="25"/>
      <c r="F8" s="27"/>
      <c r="G8" s="27"/>
      <c r="H8" s="27"/>
      <c r="I8" s="27"/>
      <c r="J8" s="25"/>
      <c r="K8" s="25"/>
      <c r="L8" s="25"/>
      <c r="M8" s="25"/>
      <c r="N8" s="25"/>
      <c r="O8" s="25"/>
      <c r="P8" s="25"/>
      <c r="Q8" s="27"/>
      <c r="R8" s="27"/>
      <c r="S8" s="27"/>
      <c r="T8" s="27"/>
      <c r="U8" s="27"/>
      <c r="V8" s="25"/>
      <c r="W8" s="25"/>
      <c r="X8" s="25"/>
      <c r="Y8" s="25"/>
    </row>
    <row r="9" spans="1:25" ht="15.75" customHeight="1" thickBot="1" x14ac:dyDescent="0.25">
      <c r="A9" s="24" t="s">
        <v>122</v>
      </c>
      <c r="B9" s="22"/>
      <c r="C9" s="22"/>
      <c r="D9" s="22"/>
      <c r="E9" s="22"/>
      <c r="F9" s="25"/>
      <c r="G9" s="25"/>
      <c r="H9" s="25"/>
      <c r="I9" s="25"/>
      <c r="J9" s="22"/>
      <c r="K9" s="22"/>
      <c r="L9" s="22"/>
      <c r="M9" s="22"/>
      <c r="N9" s="22"/>
      <c r="O9" s="22"/>
      <c r="P9" s="22"/>
      <c r="Q9" s="25"/>
      <c r="R9" s="25"/>
      <c r="S9" s="22"/>
      <c r="T9" s="22"/>
      <c r="U9" s="22"/>
      <c r="V9" s="22"/>
      <c r="W9" s="22"/>
      <c r="X9" s="22"/>
      <c r="Y9" s="22"/>
    </row>
    <row r="10" spans="1:25" ht="15.75" customHeight="1" thickBot="1" x14ac:dyDescent="0.25">
      <c r="A10" s="24" t="s">
        <v>123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5.75" customHeight="1" thickBot="1" x14ac:dyDescent="0.25">
      <c r="A11" s="24" t="s">
        <v>41</v>
      </c>
      <c r="B11" s="22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</row>
    <row r="12" spans="1:25" ht="15.75" customHeight="1" thickBot="1" x14ac:dyDescent="0.25">
      <c r="A12" s="24" t="s">
        <v>124</v>
      </c>
      <c r="B12" s="25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</row>
    <row r="13" spans="1:25" ht="15.75" customHeight="1" thickBot="1" x14ac:dyDescent="0.25">
      <c r="A13" s="24" t="s">
        <v>125</v>
      </c>
      <c r="B13" s="25"/>
      <c r="C13" s="25"/>
      <c r="D13" s="25"/>
      <c r="E13" s="22"/>
      <c r="F13" s="25"/>
      <c r="G13" s="25"/>
      <c r="H13" s="22"/>
      <c r="I13" s="25"/>
      <c r="J13" s="25"/>
      <c r="K13" s="22"/>
      <c r="L13" s="25"/>
      <c r="M13" s="25"/>
      <c r="N13" s="22"/>
      <c r="O13" s="25"/>
      <c r="P13" s="25"/>
      <c r="Q13" s="22"/>
      <c r="R13" s="25"/>
      <c r="S13" s="25"/>
      <c r="T13" s="25"/>
      <c r="U13" s="25"/>
      <c r="V13" s="25"/>
      <c r="W13" s="25"/>
      <c r="X13" s="25"/>
      <c r="Y13" s="25"/>
    </row>
    <row r="14" spans="1:25" ht="15.75" customHeight="1" thickBot="1" x14ac:dyDescent="0.25">
      <c r="A14" s="24" t="s">
        <v>126</v>
      </c>
      <c r="B14" s="25"/>
      <c r="C14" s="25"/>
      <c r="D14" s="22"/>
      <c r="E14" s="25"/>
      <c r="F14" s="25"/>
      <c r="G14" s="22"/>
      <c r="H14" s="25"/>
      <c r="I14" s="25"/>
      <c r="J14" s="22"/>
      <c r="K14" s="25"/>
      <c r="L14" s="25"/>
      <c r="M14" s="22"/>
      <c r="N14" s="25"/>
      <c r="O14" s="25"/>
      <c r="P14" s="22"/>
      <c r="Q14" s="25"/>
      <c r="R14" s="25"/>
      <c r="S14" s="22"/>
      <c r="T14" s="25"/>
      <c r="U14" s="25"/>
      <c r="V14" s="22"/>
      <c r="W14" s="25"/>
      <c r="X14" s="25"/>
      <c r="Y14" s="22"/>
    </row>
    <row r="15" spans="1:25" ht="15.75" customHeight="1" thickBot="1" x14ac:dyDescent="0.25">
      <c r="A15" s="24" t="s">
        <v>127</v>
      </c>
      <c r="B15" s="30"/>
      <c r="C15" s="30"/>
      <c r="D15" s="30"/>
      <c r="E15" s="30"/>
      <c r="F15" s="31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1"/>
      <c r="S15" s="30"/>
      <c r="T15" s="30"/>
      <c r="U15" s="30"/>
      <c r="V15" s="30"/>
      <c r="W15" s="30"/>
      <c r="X15" s="25"/>
      <c r="Y15" s="31"/>
    </row>
  </sheetData>
  <mergeCells count="5">
    <mergeCell ref="B2:F2"/>
    <mergeCell ref="A2:A3"/>
    <mergeCell ref="A4:Y4"/>
    <mergeCell ref="S2:Y2"/>
    <mergeCell ref="G2:R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O41"/>
  <sheetViews>
    <sheetView workbookViewId="0">
      <selection activeCell="P6" sqref="P6"/>
    </sheetView>
  </sheetViews>
  <sheetFormatPr baseColWidth="10" defaultColWidth="8.83203125" defaultRowHeight="15" x14ac:dyDescent="0.2"/>
  <cols>
    <col min="3" max="3" width="25.33203125" customWidth="1"/>
    <col min="4" max="4" width="20.1640625" customWidth="1"/>
    <col min="6" max="6" width="16.6640625" customWidth="1"/>
    <col min="7" max="7" width="5" customWidth="1"/>
    <col min="8" max="8" width="4.83203125" customWidth="1"/>
    <col min="9" max="9" width="5.33203125" customWidth="1"/>
    <col min="10" max="10" width="5.5" customWidth="1"/>
    <col min="11" max="11" width="5.1640625" customWidth="1"/>
    <col min="12" max="12" width="4.6640625" customWidth="1"/>
    <col min="13" max="13" width="5.5" customWidth="1"/>
    <col min="14" max="14" width="4.5" customWidth="1"/>
    <col min="15" max="15" width="4.1640625" customWidth="1"/>
    <col min="16" max="16" width="4.5" customWidth="1"/>
    <col min="17" max="17" width="5.33203125" customWidth="1"/>
    <col min="18" max="19" width="4.5" customWidth="1"/>
    <col min="20" max="20" width="4.6640625" customWidth="1"/>
    <col min="21" max="21" width="4.33203125" customWidth="1"/>
    <col min="22" max="22" width="4.5" customWidth="1"/>
    <col min="23" max="23" width="4.6640625" customWidth="1"/>
    <col min="24" max="25" width="4.33203125" customWidth="1"/>
    <col min="26" max="26" width="4" customWidth="1"/>
    <col min="27" max="27" width="5" customWidth="1"/>
    <col min="28" max="28" width="4.6640625" customWidth="1"/>
    <col min="29" max="29" width="5" customWidth="1"/>
    <col min="30" max="30" width="4.33203125" customWidth="1"/>
    <col min="32" max="32" width="30.83203125" bestFit="1" customWidth="1"/>
    <col min="33" max="33" width="8.1640625" style="46" bestFit="1" customWidth="1"/>
    <col min="34" max="34" width="10.6640625" style="46" bestFit="1" customWidth="1"/>
    <col min="35" max="35" width="16.33203125" style="46" bestFit="1" customWidth="1"/>
    <col min="36" max="36" width="12.6640625" style="46" bestFit="1" customWidth="1"/>
    <col min="37" max="37" width="11.5" style="46" bestFit="1" customWidth="1"/>
    <col min="38" max="38" width="18.83203125" style="46" bestFit="1" customWidth="1"/>
    <col min="39" max="39" width="14.5" style="46" bestFit="1" customWidth="1"/>
    <col min="40" max="40" width="11.83203125" style="46" bestFit="1" customWidth="1"/>
    <col min="41" max="41" width="14" style="46" bestFit="1" customWidth="1"/>
  </cols>
  <sheetData>
    <row r="1" spans="2:41" ht="15.75" customHeight="1" x14ac:dyDescent="0.2">
      <c r="C1" s="122" t="s">
        <v>0</v>
      </c>
      <c r="D1" s="123"/>
      <c r="I1" t="s">
        <v>267</v>
      </c>
    </row>
    <row r="2" spans="2:41" ht="15.75" customHeight="1" x14ac:dyDescent="0.2">
      <c r="B2" s="5" t="s">
        <v>1</v>
      </c>
      <c r="C2" s="6" t="s">
        <v>2</v>
      </c>
      <c r="D2" s="6" t="s">
        <v>3</v>
      </c>
      <c r="E2" s="6" t="s">
        <v>4</v>
      </c>
      <c r="F2" s="6" t="s">
        <v>5</v>
      </c>
      <c r="H2" s="124" t="s">
        <v>6</v>
      </c>
      <c r="I2" s="125"/>
      <c r="J2" s="125"/>
      <c r="K2" s="125"/>
      <c r="L2" s="125"/>
      <c r="M2" s="125"/>
      <c r="N2" s="125"/>
      <c r="P2" s="124" t="s">
        <v>7</v>
      </c>
      <c r="Q2" s="125"/>
      <c r="R2" s="125"/>
      <c r="S2" s="125"/>
      <c r="T2" s="125"/>
      <c r="U2" s="125"/>
      <c r="V2" s="125"/>
      <c r="X2" s="124" t="s">
        <v>8</v>
      </c>
      <c r="Y2" s="125"/>
      <c r="Z2" s="125"/>
      <c r="AA2" s="125"/>
      <c r="AB2" s="125"/>
      <c r="AC2" s="125"/>
      <c r="AD2" s="125"/>
      <c r="AF2" s="32" t="s">
        <v>9</v>
      </c>
      <c r="AG2" s="76" t="s">
        <v>10</v>
      </c>
      <c r="AH2" s="76" t="s">
        <v>11</v>
      </c>
      <c r="AI2" s="76" t="s">
        <v>12</v>
      </c>
      <c r="AJ2" s="76" t="s">
        <v>13</v>
      </c>
      <c r="AK2" s="76" t="s">
        <v>14</v>
      </c>
      <c r="AL2" s="76" t="s">
        <v>15</v>
      </c>
      <c r="AM2" s="76" t="s">
        <v>16</v>
      </c>
      <c r="AN2" s="76" t="s">
        <v>17</v>
      </c>
      <c r="AO2" s="76" t="s">
        <v>18</v>
      </c>
    </row>
    <row r="3" spans="2:41" ht="15.75" customHeight="1" x14ac:dyDescent="0.2">
      <c r="B3" s="78">
        <v>1</v>
      </c>
      <c r="C3" s="8" t="s">
        <v>19</v>
      </c>
      <c r="D3" s="9" t="s">
        <v>20</v>
      </c>
      <c r="E3" s="10">
        <v>1.1789000000000001</v>
      </c>
      <c r="F3" s="119" t="s">
        <v>21</v>
      </c>
      <c r="H3" s="2" t="s">
        <v>22</v>
      </c>
      <c r="I3" s="1" t="s">
        <v>23</v>
      </c>
      <c r="J3" s="1" t="s">
        <v>24</v>
      </c>
      <c r="K3" s="1" t="s">
        <v>25</v>
      </c>
      <c r="L3" s="1" t="s">
        <v>25</v>
      </c>
      <c r="M3" s="1" t="s">
        <v>23</v>
      </c>
      <c r="N3" s="2" t="s">
        <v>23</v>
      </c>
      <c r="P3" s="2" t="s">
        <v>22</v>
      </c>
      <c r="Q3" s="1" t="s">
        <v>23</v>
      </c>
      <c r="R3" s="1" t="s">
        <v>24</v>
      </c>
      <c r="S3" s="1" t="s">
        <v>25</v>
      </c>
      <c r="T3" s="1" t="s">
        <v>25</v>
      </c>
      <c r="U3" s="1" t="s">
        <v>23</v>
      </c>
      <c r="V3" s="2" t="s">
        <v>23</v>
      </c>
      <c r="X3" s="2" t="s">
        <v>22</v>
      </c>
      <c r="Y3" s="1" t="s">
        <v>23</v>
      </c>
      <c r="Z3" s="1" t="s">
        <v>24</v>
      </c>
      <c r="AA3" s="1" t="s">
        <v>25</v>
      </c>
      <c r="AB3" s="1" t="s">
        <v>25</v>
      </c>
      <c r="AC3" s="1" t="s">
        <v>23</v>
      </c>
      <c r="AD3" s="2" t="s">
        <v>23</v>
      </c>
      <c r="AF3" t="s">
        <v>26</v>
      </c>
      <c r="AG3" s="46" t="s">
        <v>27</v>
      </c>
      <c r="AH3" s="47">
        <v>46244</v>
      </c>
      <c r="AI3" s="46" t="s">
        <v>29</v>
      </c>
      <c r="AJ3" s="46" t="s">
        <v>30</v>
      </c>
      <c r="AK3" s="46" t="s">
        <v>30</v>
      </c>
      <c r="AL3" s="46" t="s">
        <v>31</v>
      </c>
      <c r="AM3" s="75" t="s">
        <v>32</v>
      </c>
      <c r="AN3" s="74">
        <v>0</v>
      </c>
      <c r="AO3" s="46" t="s">
        <v>30</v>
      </c>
    </row>
    <row r="4" spans="2:41" ht="15.75" customHeight="1" x14ac:dyDescent="0.2">
      <c r="B4" s="78">
        <v>2</v>
      </c>
      <c r="C4" s="11" t="s">
        <v>33</v>
      </c>
      <c r="D4" s="9" t="s">
        <v>34</v>
      </c>
      <c r="E4" s="10">
        <v>1.5205</v>
      </c>
      <c r="F4" s="121"/>
      <c r="H4" s="3"/>
      <c r="I4" s="4"/>
      <c r="J4" s="4"/>
      <c r="K4" s="4"/>
      <c r="L4" s="4"/>
      <c r="M4" s="4"/>
      <c r="N4" s="3">
        <v>1</v>
      </c>
      <c r="P4" s="3"/>
      <c r="Q4" s="4"/>
      <c r="R4" s="4">
        <v>1</v>
      </c>
      <c r="S4" s="4">
        <v>2</v>
      </c>
      <c r="T4" s="4">
        <v>3</v>
      </c>
      <c r="U4" s="4">
        <v>4</v>
      </c>
      <c r="V4" s="3">
        <v>5</v>
      </c>
      <c r="X4" s="3"/>
      <c r="Y4" s="4"/>
      <c r="Z4" s="4"/>
      <c r="AA4" s="4"/>
      <c r="AB4" s="4">
        <v>1</v>
      </c>
      <c r="AC4" s="4">
        <v>2</v>
      </c>
      <c r="AD4" s="3">
        <v>3</v>
      </c>
      <c r="AF4" t="s">
        <v>35</v>
      </c>
      <c r="AG4" s="46" t="s">
        <v>36</v>
      </c>
      <c r="AH4" s="46" t="s">
        <v>28</v>
      </c>
      <c r="AI4" s="46" t="s">
        <v>29</v>
      </c>
      <c r="AJ4" s="46" t="s">
        <v>30</v>
      </c>
      <c r="AK4" s="46" t="s">
        <v>30</v>
      </c>
      <c r="AL4" s="46" t="s">
        <v>37</v>
      </c>
      <c r="AM4" s="46" t="s">
        <v>32</v>
      </c>
      <c r="AN4" s="74">
        <v>0</v>
      </c>
      <c r="AO4" s="46" t="s">
        <v>30</v>
      </c>
    </row>
    <row r="5" spans="2:41" ht="15.75" customHeight="1" x14ac:dyDescent="0.2">
      <c r="B5" s="78">
        <v>3</v>
      </c>
      <c r="C5" s="12" t="s">
        <v>38</v>
      </c>
      <c r="D5" s="13" t="s">
        <v>39</v>
      </c>
      <c r="E5" s="10">
        <v>0.20050000000000001</v>
      </c>
      <c r="F5" s="119" t="s">
        <v>40</v>
      </c>
      <c r="H5" s="3">
        <v>2</v>
      </c>
      <c r="I5" s="4">
        <v>3</v>
      </c>
      <c r="J5" s="4">
        <v>4</v>
      </c>
      <c r="K5" s="94">
        <v>5</v>
      </c>
      <c r="L5" s="94">
        <v>6</v>
      </c>
      <c r="M5" s="94">
        <v>7</v>
      </c>
      <c r="N5" s="3">
        <v>8</v>
      </c>
      <c r="P5" s="3">
        <v>6</v>
      </c>
      <c r="Q5" s="4">
        <v>7</v>
      </c>
      <c r="R5" s="4">
        <v>8</v>
      </c>
      <c r="S5" s="4">
        <v>9</v>
      </c>
      <c r="T5" s="4">
        <v>10</v>
      </c>
      <c r="U5" s="4">
        <v>11</v>
      </c>
      <c r="V5" s="3">
        <v>12</v>
      </c>
      <c r="X5" s="3">
        <v>4</v>
      </c>
      <c r="Y5" s="4">
        <v>5</v>
      </c>
      <c r="Z5" s="4">
        <v>6</v>
      </c>
      <c r="AA5" s="4">
        <v>7</v>
      </c>
      <c r="AB5" s="4">
        <v>8</v>
      </c>
      <c r="AC5" s="4">
        <v>9</v>
      </c>
      <c r="AD5" s="3">
        <v>10</v>
      </c>
      <c r="AF5" t="s">
        <v>41</v>
      </c>
      <c r="AG5" s="46" t="s">
        <v>42</v>
      </c>
      <c r="AH5" s="46" t="s">
        <v>28</v>
      </c>
      <c r="AI5" s="46" t="s">
        <v>29</v>
      </c>
      <c r="AJ5" s="46" t="s">
        <v>30</v>
      </c>
      <c r="AK5" s="46" t="s">
        <v>30</v>
      </c>
      <c r="AL5" s="46" t="s">
        <v>43</v>
      </c>
      <c r="AM5" s="46" t="s">
        <v>44</v>
      </c>
      <c r="AN5" s="74">
        <v>0</v>
      </c>
      <c r="AO5" s="46" t="s">
        <v>30</v>
      </c>
    </row>
    <row r="6" spans="2:41" ht="15.75" customHeight="1" x14ac:dyDescent="0.2">
      <c r="B6" s="78">
        <v>4</v>
      </c>
      <c r="C6" s="11" t="s">
        <v>45</v>
      </c>
      <c r="D6" s="13" t="s">
        <v>46</v>
      </c>
      <c r="E6" s="10">
        <v>1.9474</v>
      </c>
      <c r="F6" s="120"/>
      <c r="H6" s="3">
        <v>9</v>
      </c>
      <c r="I6" s="94">
        <v>10</v>
      </c>
      <c r="J6" s="94">
        <v>11</v>
      </c>
      <c r="K6" s="94">
        <v>12</v>
      </c>
      <c r="L6" s="94">
        <v>13</v>
      </c>
      <c r="M6" s="94">
        <v>14</v>
      </c>
      <c r="N6" s="3">
        <v>15</v>
      </c>
      <c r="P6" s="3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3">
        <v>19</v>
      </c>
      <c r="X6" s="3">
        <v>11</v>
      </c>
      <c r="Y6" s="4">
        <v>12</v>
      </c>
      <c r="Z6" s="4">
        <v>13</v>
      </c>
      <c r="AA6" s="4">
        <v>14</v>
      </c>
      <c r="AB6" s="4">
        <v>15</v>
      </c>
      <c r="AC6" s="4">
        <v>16</v>
      </c>
      <c r="AD6" s="3">
        <v>17</v>
      </c>
    </row>
    <row r="7" spans="2:41" ht="15.75" customHeight="1" x14ac:dyDescent="0.2">
      <c r="B7" s="78">
        <v>5</v>
      </c>
      <c r="C7" s="11" t="s">
        <v>47</v>
      </c>
      <c r="D7" s="13" t="s">
        <v>48</v>
      </c>
      <c r="E7" s="10">
        <v>1.9269000000000001</v>
      </c>
      <c r="F7" s="120"/>
      <c r="H7" s="3">
        <v>16</v>
      </c>
      <c r="I7" s="94">
        <v>17</v>
      </c>
      <c r="J7" s="94">
        <v>18</v>
      </c>
      <c r="K7" s="77">
        <v>19</v>
      </c>
      <c r="L7" s="77">
        <v>20</v>
      </c>
      <c r="M7" s="77">
        <v>21</v>
      </c>
      <c r="N7" s="3">
        <v>22</v>
      </c>
      <c r="P7" s="3">
        <v>20</v>
      </c>
      <c r="Q7" s="4">
        <v>21</v>
      </c>
      <c r="R7" s="4">
        <v>22</v>
      </c>
      <c r="S7" s="4">
        <v>23</v>
      </c>
      <c r="T7" s="4">
        <v>24</v>
      </c>
      <c r="U7" s="4">
        <v>25</v>
      </c>
      <c r="V7" s="3">
        <v>26</v>
      </c>
      <c r="X7" s="3">
        <v>18</v>
      </c>
      <c r="Y7" s="4">
        <v>19</v>
      </c>
      <c r="Z7" s="4">
        <v>20</v>
      </c>
      <c r="AA7" s="4">
        <v>21</v>
      </c>
      <c r="AB7" s="4">
        <v>22</v>
      </c>
      <c r="AC7" s="4">
        <v>23</v>
      </c>
      <c r="AD7" s="3">
        <v>24</v>
      </c>
    </row>
    <row r="8" spans="2:41" ht="15.75" customHeight="1" x14ac:dyDescent="0.25">
      <c r="B8" s="78">
        <v>6</v>
      </c>
      <c r="C8" s="11" t="s">
        <v>47</v>
      </c>
      <c r="D8" s="13" t="s">
        <v>49</v>
      </c>
      <c r="E8" s="10">
        <v>1.0423</v>
      </c>
      <c r="F8" s="120"/>
      <c r="H8" s="3">
        <v>23</v>
      </c>
      <c r="I8" s="4">
        <v>24</v>
      </c>
      <c r="J8" s="4">
        <v>25</v>
      </c>
      <c r="K8" s="4">
        <v>26</v>
      </c>
      <c r="L8" s="4">
        <v>27</v>
      </c>
      <c r="M8" s="4">
        <v>28</v>
      </c>
      <c r="N8" s="3">
        <v>29</v>
      </c>
      <c r="P8" s="3">
        <v>27</v>
      </c>
      <c r="Q8" s="4">
        <v>28</v>
      </c>
      <c r="R8" s="4">
        <v>29</v>
      </c>
      <c r="S8" s="4">
        <v>30</v>
      </c>
      <c r="T8" s="4"/>
      <c r="U8" s="4"/>
      <c r="V8" s="3"/>
      <c r="X8" s="3">
        <v>25</v>
      </c>
      <c r="Y8" s="4">
        <v>26</v>
      </c>
      <c r="Z8" s="4">
        <v>27</v>
      </c>
      <c r="AA8" s="4">
        <v>28</v>
      </c>
      <c r="AB8" s="4">
        <v>29</v>
      </c>
      <c r="AC8" s="4">
        <v>30</v>
      </c>
      <c r="AD8" s="3">
        <v>31</v>
      </c>
      <c r="AF8" s="33" t="s">
        <v>50</v>
      </c>
    </row>
    <row r="9" spans="2:41" ht="15.75" customHeight="1" x14ac:dyDescent="0.2">
      <c r="B9" s="78">
        <v>7</v>
      </c>
      <c r="C9" s="11" t="s">
        <v>51</v>
      </c>
      <c r="D9" s="13" t="s">
        <v>52</v>
      </c>
      <c r="E9" s="10">
        <v>0.64129999999999998</v>
      </c>
      <c r="F9" s="120"/>
      <c r="H9" s="3">
        <v>30</v>
      </c>
      <c r="I9" s="4">
        <v>31</v>
      </c>
      <c r="AF9" t="s">
        <v>53</v>
      </c>
    </row>
    <row r="10" spans="2:41" ht="15.75" customHeight="1" x14ac:dyDescent="0.2">
      <c r="B10" s="78">
        <v>8</v>
      </c>
      <c r="C10" s="11" t="s">
        <v>33</v>
      </c>
      <c r="D10" s="13" t="s">
        <v>54</v>
      </c>
      <c r="E10" s="10">
        <v>1.5491999999999999</v>
      </c>
      <c r="F10" s="120"/>
      <c r="H10" s="124" t="s">
        <v>55</v>
      </c>
      <c r="I10" s="125"/>
      <c r="J10" s="125"/>
      <c r="K10" s="125"/>
      <c r="L10" s="125"/>
      <c r="M10" s="125"/>
      <c r="N10" s="125"/>
      <c r="P10" s="124" t="s">
        <v>56</v>
      </c>
      <c r="Q10" s="125"/>
      <c r="R10" s="125"/>
      <c r="S10" s="125"/>
      <c r="T10" s="125"/>
      <c r="U10" s="125"/>
      <c r="V10" s="125"/>
      <c r="X10" s="133"/>
      <c r="Y10" s="125"/>
      <c r="Z10" s="125"/>
      <c r="AA10" s="125"/>
      <c r="AB10" s="125"/>
      <c r="AC10" s="125"/>
      <c r="AD10" s="125"/>
      <c r="AF10" t="s">
        <v>57</v>
      </c>
    </row>
    <row r="11" spans="2:41" ht="15.75" customHeight="1" x14ac:dyDescent="0.2">
      <c r="B11" s="78">
        <v>9</v>
      </c>
      <c r="C11" s="11" t="s">
        <v>58</v>
      </c>
      <c r="D11" s="13" t="s">
        <v>59</v>
      </c>
      <c r="E11" s="10">
        <v>0.28079999999999999</v>
      </c>
      <c r="F11" s="120"/>
      <c r="H11" s="2" t="s">
        <v>22</v>
      </c>
      <c r="I11" s="1" t="s">
        <v>23</v>
      </c>
      <c r="J11" s="1" t="s">
        <v>24</v>
      </c>
      <c r="K11" s="1" t="s">
        <v>25</v>
      </c>
      <c r="L11" s="1" t="s">
        <v>25</v>
      </c>
      <c r="M11" s="1" t="s">
        <v>23</v>
      </c>
      <c r="N11" s="2" t="s">
        <v>23</v>
      </c>
      <c r="P11" s="2" t="s">
        <v>22</v>
      </c>
      <c r="Q11" s="1" t="s">
        <v>23</v>
      </c>
      <c r="R11" s="1" t="s">
        <v>24</v>
      </c>
      <c r="S11" s="1" t="s">
        <v>25</v>
      </c>
      <c r="T11" s="1" t="s">
        <v>25</v>
      </c>
      <c r="U11" s="1" t="s">
        <v>23</v>
      </c>
      <c r="V11" s="2" t="s">
        <v>23</v>
      </c>
      <c r="X11" s="18"/>
      <c r="Y11" s="18"/>
      <c r="Z11" s="18"/>
      <c r="AA11" s="18"/>
      <c r="AB11" s="18"/>
      <c r="AC11" s="18"/>
      <c r="AD11" s="18"/>
      <c r="AF11" t="s">
        <v>32</v>
      </c>
    </row>
    <row r="12" spans="2:41" ht="15.75" customHeight="1" x14ac:dyDescent="0.2">
      <c r="B12" s="78">
        <v>10</v>
      </c>
      <c r="C12" s="11" t="s">
        <v>60</v>
      </c>
      <c r="D12" s="13" t="s">
        <v>61</v>
      </c>
      <c r="E12" s="10">
        <v>1.7881</v>
      </c>
      <c r="F12" s="120"/>
      <c r="H12" s="3">
        <v>1</v>
      </c>
      <c r="I12" s="4">
        <v>2</v>
      </c>
      <c r="J12" s="4">
        <v>3</v>
      </c>
      <c r="K12" s="4">
        <v>4</v>
      </c>
      <c r="L12" s="4">
        <v>5</v>
      </c>
      <c r="M12" s="4">
        <v>6</v>
      </c>
      <c r="N12" s="3">
        <v>7</v>
      </c>
      <c r="P12" s="3"/>
      <c r="Q12" s="4"/>
      <c r="R12" s="4">
        <v>1</v>
      </c>
      <c r="S12" s="4">
        <v>2</v>
      </c>
      <c r="T12" s="4">
        <v>3</v>
      </c>
      <c r="U12" s="4">
        <v>4</v>
      </c>
      <c r="V12" s="3">
        <v>5</v>
      </c>
      <c r="X12" s="19"/>
      <c r="Y12" s="19"/>
      <c r="Z12" s="19"/>
      <c r="AA12" s="19"/>
      <c r="AB12" s="19"/>
      <c r="AC12" s="19"/>
      <c r="AD12" s="19"/>
      <c r="AF12" t="s">
        <v>44</v>
      </c>
    </row>
    <row r="13" spans="2:41" ht="15.75" customHeight="1" x14ac:dyDescent="0.2">
      <c r="B13" s="78">
        <v>11</v>
      </c>
      <c r="C13" s="11" t="s">
        <v>62</v>
      </c>
      <c r="D13" s="13" t="s">
        <v>63</v>
      </c>
      <c r="E13" s="10">
        <v>0.55769999999999997</v>
      </c>
      <c r="F13" s="120"/>
      <c r="H13" s="3">
        <v>8</v>
      </c>
      <c r="I13" s="4">
        <v>9</v>
      </c>
      <c r="J13" s="4">
        <v>10</v>
      </c>
      <c r="K13" s="4">
        <v>11</v>
      </c>
      <c r="L13" s="4">
        <v>12</v>
      </c>
      <c r="M13" s="4">
        <v>13</v>
      </c>
      <c r="N13" s="3">
        <v>14</v>
      </c>
      <c r="P13" s="3">
        <v>6</v>
      </c>
      <c r="Q13" s="4">
        <v>7</v>
      </c>
      <c r="R13" s="4">
        <v>8</v>
      </c>
      <c r="S13" s="4">
        <v>9</v>
      </c>
      <c r="T13" s="4">
        <v>10</v>
      </c>
      <c r="U13" s="4">
        <v>11</v>
      </c>
      <c r="V13" s="3">
        <v>12</v>
      </c>
      <c r="X13" s="19"/>
      <c r="Y13" s="19"/>
      <c r="Z13" s="19"/>
      <c r="AA13" s="19"/>
      <c r="AB13" s="19"/>
      <c r="AC13" s="19"/>
      <c r="AD13" s="19"/>
      <c r="AF13" t="s">
        <v>64</v>
      </c>
      <c r="AG13" s="74"/>
    </row>
    <row r="14" spans="2:41" ht="15.75" customHeight="1" x14ac:dyDescent="0.2">
      <c r="B14" s="78">
        <v>12</v>
      </c>
      <c r="C14" s="11" t="s">
        <v>65</v>
      </c>
      <c r="D14" s="13" t="s">
        <v>66</v>
      </c>
      <c r="E14" s="10">
        <v>1.2912999999999999</v>
      </c>
      <c r="F14" s="120"/>
      <c r="H14" s="3">
        <v>15</v>
      </c>
      <c r="I14" s="4">
        <v>16</v>
      </c>
      <c r="J14" s="4">
        <v>17</v>
      </c>
      <c r="K14" s="4">
        <v>18</v>
      </c>
      <c r="L14" s="4">
        <v>19</v>
      </c>
      <c r="M14" s="4">
        <v>20</v>
      </c>
      <c r="N14" s="3">
        <v>21</v>
      </c>
      <c r="P14" s="3">
        <v>13</v>
      </c>
      <c r="Q14" s="4">
        <v>14</v>
      </c>
      <c r="R14" s="4">
        <v>15</v>
      </c>
      <c r="S14" s="4">
        <v>16</v>
      </c>
      <c r="T14" s="4">
        <v>17</v>
      </c>
      <c r="U14" s="4">
        <v>18</v>
      </c>
      <c r="V14" s="3">
        <v>19</v>
      </c>
      <c r="X14" s="19"/>
      <c r="Y14" s="19"/>
      <c r="Z14" s="19"/>
      <c r="AA14" s="19"/>
      <c r="AB14" s="19"/>
      <c r="AC14" s="19"/>
      <c r="AD14" s="19"/>
    </row>
    <row r="15" spans="2:41" ht="15.75" customHeight="1" x14ac:dyDescent="0.2">
      <c r="B15" s="78">
        <v>13</v>
      </c>
      <c r="C15" s="11" t="s">
        <v>67</v>
      </c>
      <c r="D15" s="13" t="s">
        <v>68</v>
      </c>
      <c r="E15" s="10">
        <v>0.97060000000000002</v>
      </c>
      <c r="F15" s="120"/>
      <c r="H15" s="3">
        <v>22</v>
      </c>
      <c r="I15" s="4">
        <v>23</v>
      </c>
      <c r="J15" s="4">
        <v>24</v>
      </c>
      <c r="K15" s="4">
        <v>25</v>
      </c>
      <c r="L15" s="4">
        <v>26</v>
      </c>
      <c r="M15" s="4">
        <v>27</v>
      </c>
      <c r="N15" s="3">
        <v>28</v>
      </c>
      <c r="P15" s="3">
        <v>20</v>
      </c>
      <c r="Q15" s="4">
        <v>21</v>
      </c>
      <c r="R15" s="4">
        <v>22</v>
      </c>
      <c r="S15" s="4">
        <v>23</v>
      </c>
      <c r="T15" s="4">
        <v>24</v>
      </c>
      <c r="U15" s="4">
        <v>25</v>
      </c>
      <c r="V15" s="3">
        <v>26</v>
      </c>
      <c r="X15" s="19"/>
      <c r="Y15" s="19"/>
      <c r="Z15" s="19"/>
      <c r="AA15" s="19"/>
      <c r="AB15" s="19"/>
      <c r="AC15" s="19"/>
      <c r="AD15" s="19"/>
    </row>
    <row r="16" spans="2:41" ht="15.75" customHeight="1" x14ac:dyDescent="0.2">
      <c r="B16" s="78">
        <v>14</v>
      </c>
      <c r="C16" s="11" t="s">
        <v>69</v>
      </c>
      <c r="D16" s="13" t="s">
        <v>70</v>
      </c>
      <c r="E16" s="10">
        <v>0.42580000000000001</v>
      </c>
      <c r="F16" s="120"/>
      <c r="H16" s="3">
        <v>29</v>
      </c>
      <c r="I16" s="4">
        <v>30</v>
      </c>
      <c r="J16" s="4"/>
      <c r="K16" s="4"/>
      <c r="L16" s="4"/>
      <c r="M16" s="4"/>
      <c r="N16" s="4"/>
      <c r="P16" s="3">
        <v>27</v>
      </c>
      <c r="Q16" s="4">
        <v>28</v>
      </c>
      <c r="R16" s="4">
        <v>29</v>
      </c>
      <c r="S16" s="4">
        <v>30</v>
      </c>
      <c r="T16" s="4">
        <v>31</v>
      </c>
      <c r="U16" s="4"/>
      <c r="V16" s="3"/>
      <c r="X16" s="19"/>
      <c r="Y16" s="19"/>
      <c r="Z16" s="19"/>
      <c r="AA16" s="19"/>
      <c r="AB16" s="19"/>
      <c r="AC16" s="19"/>
      <c r="AD16" s="19"/>
    </row>
    <row r="17" spans="2:16" ht="15.75" customHeight="1" x14ac:dyDescent="0.2">
      <c r="B17" s="78">
        <v>15</v>
      </c>
      <c r="C17" s="11" t="s">
        <v>71</v>
      </c>
      <c r="D17" s="13" t="s">
        <v>72</v>
      </c>
      <c r="E17" s="10">
        <v>1.3714</v>
      </c>
      <c r="F17" s="120"/>
    </row>
    <row r="18" spans="2:16" ht="15.75" customHeight="1" x14ac:dyDescent="0.2">
      <c r="B18" s="78">
        <v>16</v>
      </c>
      <c r="C18" s="11" t="s">
        <v>73</v>
      </c>
      <c r="D18" s="13" t="s">
        <v>74</v>
      </c>
      <c r="E18" s="10">
        <v>4.7500000000000001E-2</v>
      </c>
      <c r="F18" s="120"/>
      <c r="H18" s="124" t="s">
        <v>263</v>
      </c>
      <c r="I18" s="124"/>
      <c r="J18" s="124"/>
      <c r="K18" s="124"/>
      <c r="L18" s="124"/>
      <c r="M18" s="124"/>
      <c r="N18" s="124"/>
    </row>
    <row r="19" spans="2:16" ht="15.75" customHeight="1" x14ac:dyDescent="0.2">
      <c r="B19" s="78">
        <v>17</v>
      </c>
      <c r="C19" s="11" t="s">
        <v>73</v>
      </c>
      <c r="D19" s="13" t="s">
        <v>75</v>
      </c>
      <c r="E19" s="10">
        <v>0.84289999999999998</v>
      </c>
      <c r="F19" s="120"/>
      <c r="H19" s="127" t="s">
        <v>264</v>
      </c>
      <c r="I19" s="128"/>
      <c r="J19" s="128"/>
      <c r="K19" s="128"/>
      <c r="L19" s="128"/>
      <c r="M19" s="128"/>
      <c r="N19" s="128"/>
    </row>
    <row r="20" spans="2:16" ht="15.75" customHeight="1" x14ac:dyDescent="0.2">
      <c r="B20" s="78">
        <v>18</v>
      </c>
      <c r="C20" s="11" t="s">
        <v>73</v>
      </c>
      <c r="D20" s="13" t="s">
        <v>76</v>
      </c>
      <c r="E20" s="10">
        <v>0.29970000000000002</v>
      </c>
      <c r="F20" s="120"/>
      <c r="H20" s="129" t="s">
        <v>265</v>
      </c>
      <c r="I20" s="130"/>
      <c r="J20" s="130"/>
      <c r="K20" s="130"/>
      <c r="L20" s="130"/>
      <c r="M20" s="130"/>
      <c r="N20" s="130"/>
    </row>
    <row r="21" spans="2:16" ht="15.75" customHeight="1" x14ac:dyDescent="0.2">
      <c r="B21" s="78">
        <v>19</v>
      </c>
      <c r="C21" s="11" t="s">
        <v>77</v>
      </c>
      <c r="D21" s="13" t="s">
        <v>78</v>
      </c>
      <c r="E21" s="10">
        <v>0.55020000000000002</v>
      </c>
      <c r="F21" s="120"/>
      <c r="H21" s="131" t="s">
        <v>266</v>
      </c>
      <c r="I21" s="132"/>
      <c r="J21" s="132"/>
      <c r="K21" s="132"/>
      <c r="L21" s="132"/>
      <c r="M21" s="132"/>
      <c r="N21" s="132"/>
      <c r="O21" s="132"/>
      <c r="P21" s="132"/>
    </row>
    <row r="22" spans="2:16" ht="15.75" customHeight="1" thickBot="1" x14ac:dyDescent="0.25">
      <c r="B22" s="78">
        <v>20</v>
      </c>
      <c r="C22" s="11" t="s">
        <v>79</v>
      </c>
      <c r="D22" s="13" t="s">
        <v>80</v>
      </c>
      <c r="E22" s="10">
        <v>2.0916999999999999</v>
      </c>
      <c r="F22" s="120"/>
    </row>
    <row r="23" spans="2:16" ht="15.75" customHeight="1" thickBot="1" x14ac:dyDescent="0.25">
      <c r="B23" s="78">
        <v>21</v>
      </c>
      <c r="C23" s="11" t="s">
        <v>81</v>
      </c>
      <c r="D23" s="13" t="s">
        <v>82</v>
      </c>
      <c r="E23" s="10">
        <v>0.48330000000000001</v>
      </c>
      <c r="F23" s="120"/>
      <c r="H23" s="89" t="s">
        <v>268</v>
      </c>
      <c r="I23" s="89"/>
      <c r="J23" s="89"/>
      <c r="K23" s="89"/>
      <c r="L23" s="89"/>
      <c r="M23" s="89"/>
      <c r="N23" s="89"/>
    </row>
    <row r="24" spans="2:16" ht="15.75" customHeight="1" thickBot="1" x14ac:dyDescent="0.25">
      <c r="B24" s="78">
        <v>22</v>
      </c>
      <c r="C24" s="11" t="s">
        <v>51</v>
      </c>
      <c r="D24" s="13" t="s">
        <v>83</v>
      </c>
      <c r="E24" s="10">
        <v>0.65190000000000003</v>
      </c>
      <c r="F24" s="120"/>
      <c r="H24" s="90"/>
    </row>
    <row r="25" spans="2:16" ht="15.75" customHeight="1" thickBot="1" x14ac:dyDescent="0.25">
      <c r="B25" s="78">
        <v>23</v>
      </c>
      <c r="C25" s="11" t="s">
        <v>62</v>
      </c>
      <c r="D25" s="13" t="s">
        <v>84</v>
      </c>
      <c r="E25" s="10">
        <v>1.41</v>
      </c>
      <c r="F25" s="120"/>
    </row>
    <row r="26" spans="2:16" ht="15.75" customHeight="1" x14ac:dyDescent="0.2">
      <c r="B26" s="78">
        <v>24</v>
      </c>
      <c r="C26" s="11" t="s">
        <v>85</v>
      </c>
      <c r="D26" s="13" t="s">
        <v>86</v>
      </c>
      <c r="E26" s="10">
        <v>1.5732999999999999</v>
      </c>
      <c r="F26" s="120"/>
    </row>
    <row r="27" spans="2:16" ht="15.75" customHeight="1" x14ac:dyDescent="0.2">
      <c r="B27" s="78">
        <v>25</v>
      </c>
      <c r="C27" s="11" t="s">
        <v>85</v>
      </c>
      <c r="D27" s="13" t="s">
        <v>87</v>
      </c>
      <c r="E27" s="10">
        <v>0.69669999999999999</v>
      </c>
      <c r="F27" s="120"/>
    </row>
    <row r="28" spans="2:16" ht="15.75" customHeight="1" x14ac:dyDescent="0.2">
      <c r="B28" s="78">
        <v>26</v>
      </c>
      <c r="C28" s="11" t="s">
        <v>33</v>
      </c>
      <c r="D28" s="13" t="s">
        <v>88</v>
      </c>
      <c r="E28" s="10">
        <v>3.4615</v>
      </c>
      <c r="F28" s="120"/>
    </row>
    <row r="29" spans="2:16" ht="15.75" customHeight="1" x14ac:dyDescent="0.2">
      <c r="B29" s="78">
        <v>27</v>
      </c>
      <c r="C29" s="11" t="s">
        <v>58</v>
      </c>
      <c r="D29" s="13" t="s">
        <v>89</v>
      </c>
      <c r="E29" s="10">
        <v>3.6648000000000001</v>
      </c>
      <c r="F29" s="120"/>
    </row>
    <row r="30" spans="2:16" ht="15.75" customHeight="1" x14ac:dyDescent="0.2">
      <c r="B30" s="78">
        <v>28</v>
      </c>
      <c r="C30" s="11" t="s">
        <v>58</v>
      </c>
      <c r="D30" s="13" t="s">
        <v>90</v>
      </c>
      <c r="E30" s="10">
        <v>0.62580000000000002</v>
      </c>
      <c r="F30" s="120"/>
    </row>
    <row r="31" spans="2:16" ht="15.75" customHeight="1" x14ac:dyDescent="0.2">
      <c r="B31" s="78">
        <v>29</v>
      </c>
      <c r="C31" s="11" t="s">
        <v>62</v>
      </c>
      <c r="D31" s="13" t="s">
        <v>91</v>
      </c>
      <c r="E31" s="10">
        <v>4.6673</v>
      </c>
      <c r="F31" s="120"/>
    </row>
    <row r="32" spans="2:16" ht="15.75" customHeight="1" x14ac:dyDescent="0.2">
      <c r="B32" s="78">
        <v>30</v>
      </c>
      <c r="C32" s="11" t="s">
        <v>92</v>
      </c>
      <c r="D32" s="13" t="s">
        <v>93</v>
      </c>
      <c r="E32" s="10">
        <v>6.3907999999999996</v>
      </c>
      <c r="F32" s="121"/>
    </row>
    <row r="33" spans="2:6" ht="15.75" customHeight="1" x14ac:dyDescent="0.2">
      <c r="B33" s="78">
        <v>31</v>
      </c>
      <c r="C33" s="12" t="s">
        <v>51</v>
      </c>
      <c r="D33" s="14" t="s">
        <v>94</v>
      </c>
      <c r="E33" s="10">
        <v>1.2982</v>
      </c>
      <c r="F33" s="119" t="s">
        <v>95</v>
      </c>
    </row>
    <row r="34" spans="2:6" ht="15.75" customHeight="1" x14ac:dyDescent="0.2">
      <c r="B34" s="78">
        <v>32</v>
      </c>
      <c r="C34" s="11" t="s">
        <v>77</v>
      </c>
      <c r="D34" s="14" t="s">
        <v>96</v>
      </c>
      <c r="E34" s="10">
        <v>0.74860000000000004</v>
      </c>
      <c r="F34" s="121"/>
    </row>
    <row r="35" spans="2:6" ht="15.75" customHeight="1" x14ac:dyDescent="0.2">
      <c r="B35" s="78">
        <v>33</v>
      </c>
      <c r="C35" s="11" t="s">
        <v>45</v>
      </c>
      <c r="D35" s="15" t="s">
        <v>97</v>
      </c>
      <c r="E35" s="10">
        <v>0.64839999999999998</v>
      </c>
      <c r="F35" s="126" t="s">
        <v>98</v>
      </c>
    </row>
    <row r="36" spans="2:6" ht="15.75" customHeight="1" x14ac:dyDescent="0.2">
      <c r="B36" s="78">
        <v>34</v>
      </c>
      <c r="C36" s="12" t="s">
        <v>73</v>
      </c>
      <c r="D36" s="15" t="s">
        <v>99</v>
      </c>
      <c r="E36" s="10">
        <v>1.2756000000000001</v>
      </c>
      <c r="F36" s="120"/>
    </row>
    <row r="37" spans="2:6" ht="15.75" customHeight="1" x14ac:dyDescent="0.2">
      <c r="B37" s="78">
        <v>35</v>
      </c>
      <c r="C37" s="11" t="s">
        <v>100</v>
      </c>
      <c r="D37" s="15" t="s">
        <v>101</v>
      </c>
      <c r="E37" s="10">
        <v>0.37840000000000001</v>
      </c>
      <c r="F37" s="120"/>
    </row>
    <row r="38" spans="2:6" ht="15.75" customHeight="1" x14ac:dyDescent="0.2">
      <c r="B38" s="78">
        <v>36</v>
      </c>
      <c r="C38" s="11" t="s">
        <v>47</v>
      </c>
      <c r="D38" s="15" t="s">
        <v>102</v>
      </c>
      <c r="E38" s="10">
        <v>0.35980000000000001</v>
      </c>
      <c r="F38" s="120"/>
    </row>
    <row r="39" spans="2:6" ht="15.75" customHeight="1" x14ac:dyDescent="0.2">
      <c r="B39" s="78">
        <v>37</v>
      </c>
      <c r="C39" s="11" t="s">
        <v>85</v>
      </c>
      <c r="D39" s="15" t="s">
        <v>103</v>
      </c>
      <c r="E39" s="10">
        <v>0.63919999999999999</v>
      </c>
      <c r="F39" s="120"/>
    </row>
    <row r="40" spans="2:6" ht="15.75" customHeight="1" x14ac:dyDescent="0.2">
      <c r="B40" s="78">
        <v>38</v>
      </c>
      <c r="C40" s="11" t="s">
        <v>85</v>
      </c>
      <c r="D40" s="15" t="s">
        <v>104</v>
      </c>
      <c r="E40" s="10">
        <v>0.76349999999999996</v>
      </c>
      <c r="F40" s="121"/>
    </row>
    <row r="41" spans="2:6" ht="15.75" customHeight="1" x14ac:dyDescent="0.2">
      <c r="B41" s="7" t="s">
        <v>92</v>
      </c>
      <c r="C41" s="16" t="s">
        <v>105</v>
      </c>
      <c r="D41" s="16">
        <v>38</v>
      </c>
      <c r="E41" s="17">
        <f>SUM(E3:E40)</f>
        <v>50.261800000000001</v>
      </c>
      <c r="F41" s="11"/>
    </row>
  </sheetData>
  <mergeCells count="15">
    <mergeCell ref="X10:AD10"/>
    <mergeCell ref="X2:AD2"/>
    <mergeCell ref="H10:N10"/>
    <mergeCell ref="P10:V10"/>
    <mergeCell ref="P2:V2"/>
    <mergeCell ref="F5:F32"/>
    <mergeCell ref="C1:D1"/>
    <mergeCell ref="H2:N2"/>
    <mergeCell ref="F35:F40"/>
    <mergeCell ref="F33:F34"/>
    <mergeCell ref="F3:F4"/>
    <mergeCell ref="H18:N18"/>
    <mergeCell ref="H19:N19"/>
    <mergeCell ref="H20:N20"/>
    <mergeCell ref="H21:P21"/>
  </mergeCells>
  <conditionalFormatting sqref="H3:H17 H22 H24:H100">
    <cfRule type="dataBar" priority="1">
      <dataBar>
        <cfvo type="num" val="0"/>
        <cfvo type="num" val="1"/>
        <color rgb="FF63C384"/>
      </dataBar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"/>
  <sheetViews>
    <sheetView workbookViewId="0">
      <selection activeCell="S5" sqref="S5"/>
    </sheetView>
  </sheetViews>
  <sheetFormatPr baseColWidth="10" defaultColWidth="8.83203125" defaultRowHeight="15" x14ac:dyDescent="0.2"/>
  <cols>
    <col min="1" max="1" width="4.33203125" style="46" customWidth="1"/>
    <col min="2" max="2" width="34" customWidth="1"/>
    <col min="3" max="4" width="12" customWidth="1"/>
    <col min="5" max="5" width="14" customWidth="1"/>
    <col min="6" max="6" width="16" customWidth="1"/>
    <col min="7" max="7" width="12.6640625" bestFit="1" customWidth="1"/>
    <col min="8" max="8" width="14" customWidth="1"/>
    <col min="9" max="9" width="22" customWidth="1"/>
    <col min="10" max="10" width="16" style="46" customWidth="1"/>
    <col min="11" max="12" width="14" style="46" customWidth="1"/>
    <col min="13" max="13" width="12" style="46" customWidth="1"/>
    <col min="14" max="14" width="47.83203125" customWidth="1"/>
  </cols>
  <sheetData>
    <row r="1" spans="1:14" ht="28" customHeight="1" x14ac:dyDescent="0.25">
      <c r="A1" s="134" t="s">
        <v>162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</row>
    <row r="3" spans="1:14" ht="16" x14ac:dyDescent="0.2">
      <c r="A3" s="35" t="s">
        <v>163</v>
      </c>
      <c r="B3" s="35" t="s">
        <v>9</v>
      </c>
      <c r="C3" s="35" t="s">
        <v>164</v>
      </c>
      <c r="D3" s="35" t="s">
        <v>165</v>
      </c>
      <c r="E3" s="35" t="s">
        <v>11</v>
      </c>
      <c r="F3" s="35" t="s">
        <v>12</v>
      </c>
      <c r="G3" s="35" t="s">
        <v>13</v>
      </c>
      <c r="H3" s="35" t="s">
        <v>166</v>
      </c>
      <c r="I3" s="35" t="s">
        <v>15</v>
      </c>
      <c r="J3" s="35" t="s">
        <v>16</v>
      </c>
      <c r="K3" s="35" t="s">
        <v>17</v>
      </c>
      <c r="L3" s="35" t="s">
        <v>149</v>
      </c>
      <c r="M3" s="35" t="s">
        <v>167</v>
      </c>
      <c r="N3" s="35" t="s">
        <v>168</v>
      </c>
    </row>
    <row r="4" spans="1:14" x14ac:dyDescent="0.2">
      <c r="A4" s="49">
        <v>1</v>
      </c>
      <c r="B4" s="48" t="s">
        <v>169</v>
      </c>
      <c r="C4" s="49" t="s">
        <v>170</v>
      </c>
      <c r="D4" s="49">
        <v>38</v>
      </c>
      <c r="E4" s="54">
        <v>46237</v>
      </c>
      <c r="F4" s="54">
        <v>46265</v>
      </c>
      <c r="G4" s="54">
        <v>46241</v>
      </c>
      <c r="H4" s="54"/>
      <c r="I4" s="49" t="s">
        <v>171</v>
      </c>
      <c r="J4" s="49" t="s">
        <v>152</v>
      </c>
      <c r="K4" s="71">
        <f>IFERROR(MIN(L4/D4,1),0)</f>
        <v>0.86842105263157898</v>
      </c>
      <c r="L4" s="49">
        <v>33</v>
      </c>
      <c r="M4" s="49">
        <f>MAX(D4-L4,0)</f>
        <v>5</v>
      </c>
      <c r="N4" s="50" t="s">
        <v>172</v>
      </c>
    </row>
    <row r="5" spans="1:14" x14ac:dyDescent="0.2">
      <c r="A5" s="49">
        <v>2</v>
      </c>
      <c r="B5" s="48" t="s">
        <v>173</v>
      </c>
      <c r="C5" s="49" t="s">
        <v>174</v>
      </c>
      <c r="D5" s="49">
        <v>50.26</v>
      </c>
      <c r="E5" s="54">
        <v>46237</v>
      </c>
      <c r="F5" s="54">
        <v>46265</v>
      </c>
      <c r="G5" s="54"/>
      <c r="H5" s="54"/>
      <c r="I5" s="49" t="s">
        <v>171</v>
      </c>
      <c r="J5" s="49" t="s">
        <v>32</v>
      </c>
      <c r="K5" s="71">
        <f>IFERROR(MIN(L5/D5,1),0)</f>
        <v>6.8842021488261046E-2</v>
      </c>
      <c r="L5" s="79">
        <v>3.46</v>
      </c>
      <c r="M5" s="79">
        <f>MAX(D5-L5,0)</f>
        <v>46.8</v>
      </c>
      <c r="N5" s="50" t="s">
        <v>175</v>
      </c>
    </row>
    <row r="6" spans="1:14" x14ac:dyDescent="0.2">
      <c r="A6" s="49">
        <v>3</v>
      </c>
      <c r="B6" s="48" t="s">
        <v>176</v>
      </c>
      <c r="C6" s="49" t="s">
        <v>174</v>
      </c>
      <c r="D6" s="49">
        <v>3.46</v>
      </c>
      <c r="E6" s="54">
        <v>46237</v>
      </c>
      <c r="F6" s="54">
        <v>46265</v>
      </c>
      <c r="G6" s="54">
        <v>46251</v>
      </c>
      <c r="H6" s="54"/>
      <c r="I6" s="49" t="s">
        <v>177</v>
      </c>
      <c r="J6" s="49" t="s">
        <v>152</v>
      </c>
      <c r="K6" s="71">
        <v>1</v>
      </c>
      <c r="L6" s="79">
        <v>3.46</v>
      </c>
      <c r="M6" s="79">
        <f>MAX(D6-L6,0)</f>
        <v>0</v>
      </c>
      <c r="N6" s="50" t="s">
        <v>178</v>
      </c>
    </row>
    <row r="7" spans="1:14" x14ac:dyDescent="0.2">
      <c r="A7" s="49">
        <v>4</v>
      </c>
      <c r="B7" s="48" t="s">
        <v>179</v>
      </c>
      <c r="C7" s="49" t="s">
        <v>180</v>
      </c>
      <c r="D7" s="49">
        <v>1</v>
      </c>
      <c r="E7" s="54">
        <v>46237</v>
      </c>
      <c r="F7" s="54">
        <v>46265</v>
      </c>
      <c r="G7" s="54"/>
      <c r="H7" s="54"/>
      <c r="I7" s="49" t="s">
        <v>181</v>
      </c>
      <c r="J7" s="49" t="s">
        <v>32</v>
      </c>
      <c r="K7" s="71">
        <v>0</v>
      </c>
      <c r="L7" s="49">
        <v>0</v>
      </c>
      <c r="M7" s="49">
        <f>MAX(D7-L7,0)</f>
        <v>1</v>
      </c>
      <c r="N7" s="50" t="s">
        <v>182</v>
      </c>
    </row>
  </sheetData>
  <mergeCells count="1">
    <mergeCell ref="A1:N1"/>
  </mergeCells>
  <conditionalFormatting sqref="J4:J100">
    <cfRule type="expression" dxfId="20" priority="2">
      <formula>J4="Concluído"</formula>
    </cfRule>
    <cfRule type="expression" dxfId="19" priority="3">
      <formula>J4="Em andamento"</formula>
    </cfRule>
    <cfRule type="expression" dxfId="18" priority="4">
      <formula>OR(J4="Atrasado",J4="Não iniciado")</formula>
    </cfRule>
    <cfRule type="expression" dxfId="17" priority="5">
      <formula>J4="Prorrogado"</formula>
    </cfRule>
  </conditionalFormatting>
  <conditionalFormatting sqref="K4:K100">
    <cfRule type="dataBar" priority="1">
      <dataBar>
        <cfvo type="min"/>
        <cfvo type="max"/>
        <color rgb="FF1F6E43"/>
      </dataBar>
    </cfRule>
    <cfRule type="dataBar" priority="9">
      <dataBar>
        <cfvo type="min"/>
        <cfvo type="max"/>
        <color rgb="FF1F6E43"/>
      </dataBar>
      <extLst>
        <ext xmlns:x14="http://schemas.microsoft.com/office/spreadsheetml/2009/9/main" uri="{B025F937-C7B1-47D3-B67F-A62EFF666E3E}">
          <x14:id>{57CFF461-FE68-3C49-D01A-6321DDF2A813}</x14:id>
        </ext>
      </extLst>
    </cfRule>
  </conditionalFormatting>
  <dataValidations count="1">
    <dataValidation type="list" sqref="J6:J7" xr:uid="{00000000-0002-0000-0300-000002000000}">
      <formula1>"Não iniciado,Em andamento,Concluído,Atrasado,Prorrogado"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CFF461-FE68-3C49-D01A-6321DDF2A813}">
            <x14:dataBar>
              <x14:cfvo type="min"/>
              <x14:cfvo type="max"/>
              <x14:negativeFillColor auto="1"/>
              <x14:axisColor auto="1"/>
            </x14:dataBar>
          </x14:cfRule>
          <xm:sqref>K4:K100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Configurações!$D$4:$D$8</xm:f>
          </x14:formula1>
          <xm:sqref>J4:J100</xm:sqref>
        </x14:dataValidation>
        <x14:dataValidation type="list" xr:uid="{00000000-0002-0000-0300-000001000000}">
          <x14:formula1>
            <xm:f>Configurações!$F$4:$F$7</xm:f>
          </x14:formula1>
          <xm:sqref>I4:I100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5"/>
  <sheetViews>
    <sheetView workbookViewId="0">
      <selection activeCell="I9" sqref="I9"/>
    </sheetView>
  </sheetViews>
  <sheetFormatPr baseColWidth="10" defaultColWidth="8.83203125" defaultRowHeight="15" x14ac:dyDescent="0.2"/>
  <cols>
    <col min="1" max="1" width="9.33203125" style="46" customWidth="1"/>
    <col min="2" max="2" width="42" style="53" customWidth="1"/>
    <col min="3" max="3" width="14.5" style="46" bestFit="1" customWidth="1"/>
    <col min="4" max="4" width="10.5" bestFit="1" customWidth="1"/>
    <col min="5" max="5" width="12.5" customWidth="1"/>
    <col min="6" max="6" width="12.1640625" customWidth="1"/>
    <col min="7" max="7" width="15" style="46" customWidth="1"/>
    <col min="8" max="31" width="10" customWidth="1"/>
  </cols>
  <sheetData>
    <row r="1" spans="1:31" ht="22" customHeight="1" x14ac:dyDescent="0.2">
      <c r="A1" s="135" t="s">
        <v>240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5"/>
      <c r="Y1" s="135"/>
      <c r="Z1" s="135"/>
      <c r="AA1" s="135"/>
      <c r="AB1" s="135"/>
      <c r="AC1" s="135"/>
      <c r="AD1" s="135"/>
    </row>
    <row r="2" spans="1:31" ht="32" x14ac:dyDescent="0.2">
      <c r="A2" s="43" t="s">
        <v>163</v>
      </c>
      <c r="B2" s="52" t="s">
        <v>9</v>
      </c>
      <c r="C2" s="43" t="s">
        <v>11</v>
      </c>
      <c r="D2" s="43" t="s">
        <v>12</v>
      </c>
      <c r="E2" s="43" t="s">
        <v>13</v>
      </c>
      <c r="F2" s="43" t="s">
        <v>166</v>
      </c>
      <c r="G2" s="61" t="s">
        <v>16</v>
      </c>
      <c r="H2" s="62">
        <v>46235</v>
      </c>
      <c r="I2" s="62">
        <v>46266</v>
      </c>
      <c r="J2" s="62">
        <v>46296</v>
      </c>
      <c r="K2" s="62">
        <v>46327</v>
      </c>
      <c r="L2" s="62">
        <v>46357</v>
      </c>
      <c r="M2" s="62">
        <v>46388</v>
      </c>
      <c r="N2" s="62">
        <v>46419</v>
      </c>
      <c r="O2" s="62">
        <v>46447</v>
      </c>
      <c r="P2" s="62">
        <v>46478</v>
      </c>
      <c r="Q2" s="62">
        <v>46508</v>
      </c>
      <c r="R2" s="62">
        <v>46539</v>
      </c>
      <c r="S2" s="62">
        <v>46569</v>
      </c>
      <c r="T2" s="62">
        <v>46600</v>
      </c>
      <c r="U2" s="62">
        <v>46631</v>
      </c>
      <c r="V2" s="62">
        <v>46661</v>
      </c>
      <c r="W2" s="62">
        <v>46692</v>
      </c>
      <c r="X2" s="62">
        <v>46722</v>
      </c>
      <c r="Y2" s="62">
        <v>46753</v>
      </c>
      <c r="Z2" s="62">
        <v>46784</v>
      </c>
      <c r="AA2" s="62">
        <v>46813</v>
      </c>
      <c r="AB2" s="62">
        <v>46844</v>
      </c>
      <c r="AC2" s="62">
        <v>46874</v>
      </c>
      <c r="AD2" s="62">
        <v>46905</v>
      </c>
      <c r="AE2" s="62">
        <v>46935</v>
      </c>
    </row>
    <row r="3" spans="1:31" ht="17.25" customHeight="1" x14ac:dyDescent="0.2">
      <c r="A3" s="80">
        <v>1</v>
      </c>
      <c r="B3" s="81" t="s">
        <v>119</v>
      </c>
      <c r="C3" s="82">
        <v>46239</v>
      </c>
      <c r="D3" s="83">
        <v>46239</v>
      </c>
      <c r="E3" s="83"/>
      <c r="F3" s="83"/>
      <c r="G3" s="80" t="s">
        <v>152</v>
      </c>
      <c r="H3" s="84">
        <f t="shared" ref="H3:Q14" si="0">IF(OR($C3="",$D3=""),"",IF(AND(H$2&lt;=EOMONTH(IF($F3&lt;&gt;"",$F3,$D3),0),EOMONTH(H$2,0)&gt;=EOMONTH($C3,0)),IF($G3="Concluído",3,IF($G3="Atrasado",4,IF($G3="Prorrogado",5,IF($G3="Em andamento",2,1)))),""))</f>
        <v>3</v>
      </c>
      <c r="I3" s="84" t="str">
        <f t="shared" si="0"/>
        <v/>
      </c>
      <c r="J3" s="84" t="str">
        <f t="shared" si="0"/>
        <v/>
      </c>
      <c r="K3" s="84" t="str">
        <f t="shared" si="0"/>
        <v/>
      </c>
      <c r="L3" s="84" t="str">
        <f t="shared" si="0"/>
        <v/>
      </c>
      <c r="M3" s="84" t="str">
        <f t="shared" si="0"/>
        <v/>
      </c>
      <c r="N3" s="84" t="str">
        <f t="shared" si="0"/>
        <v/>
      </c>
      <c r="O3" s="84" t="str">
        <f t="shared" si="0"/>
        <v/>
      </c>
      <c r="P3" s="84" t="str">
        <f t="shared" si="0"/>
        <v/>
      </c>
      <c r="Q3" s="84" t="str">
        <f t="shared" si="0"/>
        <v/>
      </c>
      <c r="R3" s="84" t="str">
        <f t="shared" ref="R3:AE13" si="1">IF(OR($C3="",$D3=""),"",IF(AND(R$2&lt;=EOMONTH(IF($F3&lt;&gt;"",$F3,$D3),0),EOMONTH(R$2,0)&gt;=EOMONTH($C3,0)),IF($G3="Concluído",3,IF($G3="Atrasado",4,IF($G3="Prorrogado",5,IF($G3="Em andamento",2,1)))),""))</f>
        <v/>
      </c>
      <c r="S3" s="84" t="str">
        <f t="shared" si="1"/>
        <v/>
      </c>
      <c r="T3" s="84" t="str">
        <f t="shared" si="1"/>
        <v/>
      </c>
      <c r="U3" s="84" t="str">
        <f t="shared" si="1"/>
        <v/>
      </c>
      <c r="V3" s="84" t="str">
        <f t="shared" si="1"/>
        <v/>
      </c>
      <c r="W3" s="84" t="str">
        <f t="shared" si="1"/>
        <v/>
      </c>
      <c r="X3" s="84" t="str">
        <f t="shared" si="1"/>
        <v/>
      </c>
      <c r="Y3" s="84" t="str">
        <f t="shared" si="1"/>
        <v/>
      </c>
      <c r="Z3" s="84" t="str">
        <f t="shared" si="1"/>
        <v/>
      </c>
      <c r="AA3" s="84" t="str">
        <f t="shared" si="1"/>
        <v/>
      </c>
      <c r="AB3" s="84" t="str">
        <f t="shared" si="1"/>
        <v/>
      </c>
      <c r="AC3" s="84" t="str">
        <f t="shared" si="1"/>
        <v/>
      </c>
      <c r="AD3" s="84" t="str">
        <f t="shared" si="1"/>
        <v/>
      </c>
      <c r="AE3" s="84" t="str">
        <f t="shared" si="1"/>
        <v/>
      </c>
    </row>
    <row r="4" spans="1:31" ht="14.25" customHeight="1" x14ac:dyDescent="0.2">
      <c r="A4" s="80">
        <v>2</v>
      </c>
      <c r="B4" s="81" t="s">
        <v>120</v>
      </c>
      <c r="C4" s="82">
        <v>46223</v>
      </c>
      <c r="D4" s="83">
        <v>46237</v>
      </c>
      <c r="E4" s="83"/>
      <c r="F4" s="82">
        <v>46252</v>
      </c>
      <c r="G4" s="80" t="s">
        <v>152</v>
      </c>
      <c r="H4" s="84">
        <f t="shared" si="0"/>
        <v>3</v>
      </c>
      <c r="I4" s="84" t="str">
        <f t="shared" si="0"/>
        <v/>
      </c>
      <c r="J4" s="84" t="str">
        <f t="shared" si="0"/>
        <v/>
      </c>
      <c r="K4" s="84" t="str">
        <f t="shared" si="0"/>
        <v/>
      </c>
      <c r="L4" s="84" t="str">
        <f t="shared" si="0"/>
        <v/>
      </c>
      <c r="M4" s="84" t="str">
        <f t="shared" si="0"/>
        <v/>
      </c>
      <c r="N4" s="84" t="str">
        <f t="shared" si="0"/>
        <v/>
      </c>
      <c r="O4" s="84" t="str">
        <f t="shared" si="0"/>
        <v/>
      </c>
      <c r="P4" s="84" t="str">
        <f t="shared" si="0"/>
        <v/>
      </c>
      <c r="Q4" s="84" t="str">
        <f t="shared" si="0"/>
        <v/>
      </c>
      <c r="R4" s="84" t="str">
        <f t="shared" si="1"/>
        <v/>
      </c>
      <c r="S4" s="84" t="str">
        <f t="shared" si="1"/>
        <v/>
      </c>
      <c r="T4" s="84" t="str">
        <f t="shared" si="1"/>
        <v/>
      </c>
      <c r="U4" s="84" t="str">
        <f t="shared" si="1"/>
        <v/>
      </c>
      <c r="V4" s="84" t="str">
        <f t="shared" si="1"/>
        <v/>
      </c>
      <c r="W4" s="84" t="str">
        <f t="shared" si="1"/>
        <v/>
      </c>
      <c r="X4" s="84" t="str">
        <f t="shared" si="1"/>
        <v/>
      </c>
      <c r="Y4" s="84" t="str">
        <f t="shared" si="1"/>
        <v/>
      </c>
      <c r="Z4" s="84" t="str">
        <f t="shared" si="1"/>
        <v/>
      </c>
      <c r="AA4" s="84" t="str">
        <f t="shared" si="1"/>
        <v/>
      </c>
      <c r="AB4" s="84" t="str">
        <f t="shared" si="1"/>
        <v/>
      </c>
      <c r="AC4" s="84" t="str">
        <f t="shared" si="1"/>
        <v/>
      </c>
      <c r="AD4" s="84" t="str">
        <f t="shared" si="1"/>
        <v/>
      </c>
      <c r="AE4" s="84" t="str">
        <f t="shared" si="1"/>
        <v/>
      </c>
    </row>
    <row r="5" spans="1:31" ht="15" customHeight="1" x14ac:dyDescent="0.2">
      <c r="A5" s="80">
        <v>3</v>
      </c>
      <c r="B5" s="81" t="s">
        <v>26</v>
      </c>
      <c r="C5" s="82">
        <v>46239</v>
      </c>
      <c r="D5" s="83">
        <v>46241</v>
      </c>
      <c r="E5" s="83"/>
      <c r="F5" s="83"/>
      <c r="G5" s="80" t="s">
        <v>152</v>
      </c>
      <c r="H5" s="84">
        <f t="shared" si="0"/>
        <v>3</v>
      </c>
      <c r="I5" s="84" t="str">
        <f t="shared" si="0"/>
        <v/>
      </c>
      <c r="J5" s="84" t="str">
        <f t="shared" si="0"/>
        <v/>
      </c>
      <c r="K5" s="84" t="str">
        <f t="shared" si="0"/>
        <v/>
      </c>
      <c r="L5" s="84" t="str">
        <f t="shared" si="0"/>
        <v/>
      </c>
      <c r="M5" s="84" t="str">
        <f t="shared" si="0"/>
        <v/>
      </c>
      <c r="N5" s="84" t="str">
        <f t="shared" si="0"/>
        <v/>
      </c>
      <c r="O5" s="84" t="str">
        <f t="shared" si="0"/>
        <v/>
      </c>
      <c r="P5" s="84" t="str">
        <f t="shared" si="0"/>
        <v/>
      </c>
      <c r="Q5" s="84" t="str">
        <f t="shared" si="0"/>
        <v/>
      </c>
      <c r="R5" s="84" t="str">
        <f t="shared" si="1"/>
        <v/>
      </c>
      <c r="S5" s="84" t="str">
        <f t="shared" si="1"/>
        <v/>
      </c>
      <c r="T5" s="84" t="str">
        <f t="shared" si="1"/>
        <v/>
      </c>
      <c r="U5" s="84" t="str">
        <f t="shared" si="1"/>
        <v/>
      </c>
      <c r="V5" s="84" t="str">
        <f t="shared" si="1"/>
        <v/>
      </c>
      <c r="W5" s="84" t="str">
        <f t="shared" si="1"/>
        <v/>
      </c>
      <c r="X5" s="84" t="str">
        <f t="shared" si="1"/>
        <v/>
      </c>
      <c r="Y5" s="84" t="str">
        <f t="shared" si="1"/>
        <v/>
      </c>
      <c r="Z5" s="84" t="str">
        <f t="shared" si="1"/>
        <v/>
      </c>
      <c r="AA5" s="84" t="str">
        <f t="shared" si="1"/>
        <v/>
      </c>
      <c r="AB5" s="84" t="str">
        <f t="shared" si="1"/>
        <v/>
      </c>
      <c r="AC5" s="84" t="str">
        <f t="shared" si="1"/>
        <v/>
      </c>
      <c r="AD5" s="84" t="str">
        <f t="shared" si="1"/>
        <v/>
      </c>
      <c r="AE5" s="84" t="str">
        <f t="shared" si="1"/>
        <v/>
      </c>
    </row>
    <row r="6" spans="1:31" ht="14.25" customHeight="1" x14ac:dyDescent="0.2">
      <c r="A6" s="80">
        <v>4</v>
      </c>
      <c r="B6" s="81" t="s">
        <v>121</v>
      </c>
      <c r="C6" s="82"/>
      <c r="D6" s="83"/>
      <c r="E6" s="83"/>
      <c r="F6" s="83"/>
      <c r="G6" s="80" t="s">
        <v>44</v>
      </c>
      <c r="H6" s="84" t="str">
        <f t="shared" si="0"/>
        <v/>
      </c>
      <c r="I6" s="84" t="str">
        <f t="shared" si="0"/>
        <v/>
      </c>
      <c r="J6" s="84" t="str">
        <f t="shared" si="0"/>
        <v/>
      </c>
      <c r="K6" s="84" t="str">
        <f t="shared" si="0"/>
        <v/>
      </c>
      <c r="L6" s="84" t="str">
        <f t="shared" si="0"/>
        <v/>
      </c>
      <c r="M6" s="84" t="str">
        <f t="shared" si="0"/>
        <v/>
      </c>
      <c r="N6" s="84" t="str">
        <f t="shared" si="0"/>
        <v/>
      </c>
      <c r="O6" s="84" t="str">
        <f t="shared" si="0"/>
        <v/>
      </c>
      <c r="P6" s="84" t="str">
        <f t="shared" si="0"/>
        <v/>
      </c>
      <c r="Q6" s="84" t="str">
        <f t="shared" si="0"/>
        <v/>
      </c>
      <c r="R6" s="84" t="str">
        <f t="shared" si="1"/>
        <v/>
      </c>
      <c r="S6" s="84" t="str">
        <f t="shared" si="1"/>
        <v/>
      </c>
      <c r="T6" s="84" t="str">
        <f t="shared" si="1"/>
        <v/>
      </c>
      <c r="U6" s="84" t="str">
        <f t="shared" si="1"/>
        <v/>
      </c>
      <c r="V6" s="84" t="str">
        <f t="shared" si="1"/>
        <v/>
      </c>
      <c r="W6" s="84" t="str">
        <f t="shared" si="1"/>
        <v/>
      </c>
      <c r="X6" s="84" t="str">
        <f t="shared" si="1"/>
        <v/>
      </c>
      <c r="Y6" s="84" t="str">
        <f t="shared" si="1"/>
        <v/>
      </c>
      <c r="Z6" s="84" t="str">
        <f t="shared" si="1"/>
        <v/>
      </c>
      <c r="AA6" s="84" t="str">
        <f t="shared" si="1"/>
        <v/>
      </c>
      <c r="AB6" s="84" t="str">
        <f t="shared" si="1"/>
        <v/>
      </c>
      <c r="AC6" s="84" t="str">
        <f t="shared" si="1"/>
        <v/>
      </c>
      <c r="AD6" s="84" t="str">
        <f t="shared" si="1"/>
        <v/>
      </c>
      <c r="AE6" s="84" t="str">
        <f t="shared" si="1"/>
        <v/>
      </c>
    </row>
    <row r="7" spans="1:31" ht="15" customHeight="1" x14ac:dyDescent="0.2">
      <c r="A7" s="80">
        <v>5</v>
      </c>
      <c r="B7" s="81" t="s">
        <v>122</v>
      </c>
      <c r="C7" s="82">
        <v>46244</v>
      </c>
      <c r="D7" s="83">
        <v>46251</v>
      </c>
      <c r="E7" s="83"/>
      <c r="F7" s="83"/>
      <c r="G7" s="80" t="s">
        <v>152</v>
      </c>
      <c r="H7" s="84">
        <f t="shared" si="0"/>
        <v>3</v>
      </c>
      <c r="I7" s="84" t="str">
        <f t="shared" si="0"/>
        <v/>
      </c>
      <c r="J7" s="84" t="str">
        <f>IF(OR($C7="",$D7=""),"",IF(AND(J$2&lt;=EOMONTH(IF($F7&lt;&gt;"",$F7,$D7),0),EOMONTH(J$2,0)&gt;=EOMONTH($C7,0)),IF($G7="Concluído",3,IF($G7="Atrasado",4,IF($G7="Prorrogado",5,IF($G7="Em andamento",2,1)))),""))</f>
        <v/>
      </c>
      <c r="K7" s="84" t="str">
        <f t="shared" si="0"/>
        <v/>
      </c>
      <c r="L7" s="84" t="str">
        <f t="shared" si="0"/>
        <v/>
      </c>
      <c r="M7" s="84" t="str">
        <f t="shared" si="0"/>
        <v/>
      </c>
      <c r="N7" s="84" t="str">
        <f t="shared" si="0"/>
        <v/>
      </c>
      <c r="O7" s="84" t="str">
        <f t="shared" si="0"/>
        <v/>
      </c>
      <c r="P7" s="84" t="str">
        <f t="shared" si="0"/>
        <v/>
      </c>
      <c r="Q7" s="84" t="str">
        <f t="shared" si="0"/>
        <v/>
      </c>
      <c r="R7" s="84" t="str">
        <f t="shared" si="1"/>
        <v/>
      </c>
      <c r="S7" s="84" t="str">
        <f t="shared" si="1"/>
        <v/>
      </c>
      <c r="T7" s="84" t="str">
        <f t="shared" si="1"/>
        <v/>
      </c>
      <c r="U7" s="84" t="str">
        <f t="shared" si="1"/>
        <v/>
      </c>
      <c r="V7" s="84" t="str">
        <f t="shared" si="1"/>
        <v/>
      </c>
      <c r="W7" s="84" t="str">
        <f t="shared" si="1"/>
        <v/>
      </c>
      <c r="X7" s="84" t="str">
        <f t="shared" si="1"/>
        <v/>
      </c>
      <c r="Y7" s="84" t="str">
        <f t="shared" si="1"/>
        <v/>
      </c>
      <c r="Z7" s="84" t="str">
        <f t="shared" si="1"/>
        <v/>
      </c>
      <c r="AA7" s="84" t="str">
        <f t="shared" si="1"/>
        <v/>
      </c>
      <c r="AB7" s="84" t="str">
        <f t="shared" si="1"/>
        <v/>
      </c>
      <c r="AC7" s="84" t="str">
        <f t="shared" si="1"/>
        <v/>
      </c>
      <c r="AD7" s="84" t="str">
        <f t="shared" si="1"/>
        <v/>
      </c>
      <c r="AE7" s="84" t="str">
        <f t="shared" si="1"/>
        <v/>
      </c>
    </row>
    <row r="8" spans="1:31" ht="15.75" customHeight="1" x14ac:dyDescent="0.2">
      <c r="A8" s="80">
        <v>6</v>
      </c>
      <c r="B8" s="81" t="s">
        <v>123</v>
      </c>
      <c r="C8" s="82"/>
      <c r="D8" s="83"/>
      <c r="E8" s="83"/>
      <c r="F8" s="83"/>
      <c r="G8" s="80" t="s">
        <v>44</v>
      </c>
      <c r="H8" s="84" t="str">
        <f t="shared" si="0"/>
        <v/>
      </c>
      <c r="I8" s="84" t="str">
        <f t="shared" si="0"/>
        <v/>
      </c>
      <c r="J8" s="84" t="str">
        <f t="shared" si="0"/>
        <v/>
      </c>
      <c r="K8" s="84" t="str">
        <f t="shared" si="0"/>
        <v/>
      </c>
      <c r="L8" s="84" t="str">
        <f t="shared" si="0"/>
        <v/>
      </c>
      <c r="M8" s="84" t="str">
        <f t="shared" si="0"/>
        <v/>
      </c>
      <c r="N8" s="84" t="str">
        <f t="shared" si="0"/>
        <v/>
      </c>
      <c r="O8" s="84" t="str">
        <f t="shared" si="0"/>
        <v/>
      </c>
      <c r="P8" s="84" t="str">
        <f t="shared" si="0"/>
        <v/>
      </c>
      <c r="Q8" s="84" t="str">
        <f t="shared" si="0"/>
        <v/>
      </c>
      <c r="R8" s="84" t="str">
        <f t="shared" si="1"/>
        <v/>
      </c>
      <c r="S8" s="84" t="str">
        <f t="shared" si="1"/>
        <v/>
      </c>
      <c r="T8" s="84" t="str">
        <f t="shared" si="1"/>
        <v/>
      </c>
      <c r="U8" s="84" t="str">
        <f t="shared" si="1"/>
        <v/>
      </c>
      <c r="V8" s="84" t="str">
        <f t="shared" si="1"/>
        <v/>
      </c>
      <c r="W8" s="84" t="str">
        <f t="shared" si="1"/>
        <v/>
      </c>
      <c r="X8" s="84" t="str">
        <f t="shared" si="1"/>
        <v/>
      </c>
      <c r="Y8" s="84" t="str">
        <f t="shared" si="1"/>
        <v/>
      </c>
      <c r="Z8" s="84" t="str">
        <f t="shared" si="1"/>
        <v/>
      </c>
      <c r="AA8" s="84" t="str">
        <f t="shared" si="1"/>
        <v/>
      </c>
      <c r="AB8" s="84" t="str">
        <f t="shared" si="1"/>
        <v/>
      </c>
      <c r="AC8" s="84" t="str">
        <f t="shared" si="1"/>
        <v/>
      </c>
      <c r="AD8" s="84" t="str">
        <f t="shared" si="1"/>
        <v/>
      </c>
      <c r="AE8" s="84" t="str">
        <f t="shared" si="1"/>
        <v/>
      </c>
    </row>
    <row r="9" spans="1:31" ht="15.75" customHeight="1" x14ac:dyDescent="0.2">
      <c r="A9" s="80">
        <v>7</v>
      </c>
      <c r="B9" s="81" t="s">
        <v>41</v>
      </c>
      <c r="C9" s="82"/>
      <c r="D9" s="83"/>
      <c r="E9" s="83"/>
      <c r="F9" s="83"/>
      <c r="G9" s="80" t="s">
        <v>44</v>
      </c>
      <c r="H9" s="84" t="str">
        <f t="shared" si="0"/>
        <v/>
      </c>
      <c r="I9" s="84" t="str">
        <f t="shared" si="0"/>
        <v/>
      </c>
      <c r="J9" s="84" t="str">
        <f t="shared" si="0"/>
        <v/>
      </c>
      <c r="K9" s="84" t="str">
        <f t="shared" si="0"/>
        <v/>
      </c>
      <c r="L9" s="84" t="str">
        <f t="shared" si="0"/>
        <v/>
      </c>
      <c r="M9" s="84" t="str">
        <f t="shared" si="0"/>
        <v/>
      </c>
      <c r="N9" s="84" t="str">
        <f t="shared" si="0"/>
        <v/>
      </c>
      <c r="O9" s="84" t="str">
        <f t="shared" si="0"/>
        <v/>
      </c>
      <c r="P9" s="84" t="str">
        <f t="shared" si="0"/>
        <v/>
      </c>
      <c r="Q9" s="84" t="str">
        <f t="shared" si="0"/>
        <v/>
      </c>
      <c r="R9" s="84" t="str">
        <f t="shared" si="1"/>
        <v/>
      </c>
      <c r="S9" s="84" t="str">
        <f t="shared" si="1"/>
        <v/>
      </c>
      <c r="T9" s="84" t="str">
        <f t="shared" si="1"/>
        <v/>
      </c>
      <c r="U9" s="84" t="str">
        <f t="shared" si="1"/>
        <v/>
      </c>
      <c r="V9" s="84" t="str">
        <f t="shared" si="1"/>
        <v/>
      </c>
      <c r="W9" s="84" t="str">
        <f t="shared" si="1"/>
        <v/>
      </c>
      <c r="X9" s="84" t="str">
        <f t="shared" si="1"/>
        <v/>
      </c>
      <c r="Y9" s="84" t="str">
        <f t="shared" si="1"/>
        <v/>
      </c>
      <c r="Z9" s="84" t="str">
        <f t="shared" si="1"/>
        <v/>
      </c>
      <c r="AA9" s="84" t="str">
        <f t="shared" si="1"/>
        <v/>
      </c>
      <c r="AB9" s="84" t="str">
        <f t="shared" si="1"/>
        <v/>
      </c>
      <c r="AC9" s="84" t="str">
        <f t="shared" si="1"/>
        <v/>
      </c>
      <c r="AD9" s="84" t="str">
        <f t="shared" si="1"/>
        <v/>
      </c>
      <c r="AE9" s="84" t="str">
        <f t="shared" si="1"/>
        <v/>
      </c>
    </row>
    <row r="10" spans="1:31" ht="16.5" customHeight="1" x14ac:dyDescent="0.2">
      <c r="A10" s="80">
        <v>8</v>
      </c>
      <c r="B10" s="81" t="s">
        <v>124</v>
      </c>
      <c r="C10" s="82"/>
      <c r="D10" s="83"/>
      <c r="E10" s="83"/>
      <c r="F10" s="83"/>
      <c r="G10" s="80" t="s">
        <v>44</v>
      </c>
      <c r="H10" s="84" t="str">
        <f t="shared" si="0"/>
        <v/>
      </c>
      <c r="I10" s="84" t="str">
        <f t="shared" si="0"/>
        <v/>
      </c>
      <c r="J10" s="84" t="str">
        <f t="shared" si="0"/>
        <v/>
      </c>
      <c r="K10" s="84" t="str">
        <f t="shared" si="0"/>
        <v/>
      </c>
      <c r="L10" s="84" t="str">
        <f t="shared" si="0"/>
        <v/>
      </c>
      <c r="M10" s="84" t="str">
        <f t="shared" si="0"/>
        <v/>
      </c>
      <c r="N10" s="84" t="str">
        <f t="shared" si="0"/>
        <v/>
      </c>
      <c r="O10" s="84" t="str">
        <f t="shared" si="0"/>
        <v/>
      </c>
      <c r="P10" s="84" t="str">
        <f t="shared" si="0"/>
        <v/>
      </c>
      <c r="Q10" s="84" t="str">
        <f t="shared" si="0"/>
        <v/>
      </c>
      <c r="R10" s="84" t="str">
        <f t="shared" si="1"/>
        <v/>
      </c>
      <c r="S10" s="84" t="str">
        <f t="shared" si="1"/>
        <v/>
      </c>
      <c r="T10" s="84" t="str">
        <f t="shared" si="1"/>
        <v/>
      </c>
      <c r="U10" s="84" t="str">
        <f t="shared" si="1"/>
        <v/>
      </c>
      <c r="V10" s="84" t="str">
        <f t="shared" si="1"/>
        <v/>
      </c>
      <c r="W10" s="84" t="str">
        <f t="shared" si="1"/>
        <v/>
      </c>
      <c r="X10" s="84" t="str">
        <f t="shared" si="1"/>
        <v/>
      </c>
      <c r="Y10" s="84" t="str">
        <f t="shared" si="1"/>
        <v/>
      </c>
      <c r="Z10" s="84" t="str">
        <f t="shared" si="1"/>
        <v/>
      </c>
      <c r="AA10" s="84" t="str">
        <f t="shared" si="1"/>
        <v/>
      </c>
      <c r="AB10" s="84" t="str">
        <f t="shared" si="1"/>
        <v/>
      </c>
      <c r="AC10" s="84" t="str">
        <f t="shared" si="1"/>
        <v/>
      </c>
      <c r="AD10" s="84" t="str">
        <f t="shared" si="1"/>
        <v/>
      </c>
      <c r="AE10" s="84" t="str">
        <f t="shared" si="1"/>
        <v/>
      </c>
    </row>
    <row r="11" spans="1:31" ht="14.25" customHeight="1" x14ac:dyDescent="0.2">
      <c r="A11" s="80">
        <v>9</v>
      </c>
      <c r="B11" s="81" t="s">
        <v>125</v>
      </c>
      <c r="C11" s="82"/>
      <c r="D11" s="83"/>
      <c r="E11" s="83"/>
      <c r="F11" s="83"/>
      <c r="G11" s="80" t="s">
        <v>44</v>
      </c>
      <c r="H11" s="84" t="str">
        <f t="shared" si="0"/>
        <v/>
      </c>
      <c r="I11" s="84" t="str">
        <f t="shared" si="0"/>
        <v/>
      </c>
      <c r="J11" s="84" t="str">
        <f t="shared" si="0"/>
        <v/>
      </c>
      <c r="K11" s="84" t="str">
        <f t="shared" si="0"/>
        <v/>
      </c>
      <c r="L11" s="84" t="str">
        <f t="shared" si="0"/>
        <v/>
      </c>
      <c r="M11" s="84" t="str">
        <f t="shared" si="0"/>
        <v/>
      </c>
      <c r="N11" s="84" t="str">
        <f t="shared" si="0"/>
        <v/>
      </c>
      <c r="O11" s="84" t="str">
        <f t="shared" si="0"/>
        <v/>
      </c>
      <c r="P11" s="84" t="str">
        <f t="shared" si="0"/>
        <v/>
      </c>
      <c r="Q11" s="84" t="str">
        <f t="shared" si="0"/>
        <v/>
      </c>
      <c r="R11" s="84" t="str">
        <f t="shared" si="1"/>
        <v/>
      </c>
      <c r="S11" s="84" t="str">
        <f t="shared" si="1"/>
        <v/>
      </c>
      <c r="T11" s="84" t="str">
        <f t="shared" si="1"/>
        <v/>
      </c>
      <c r="U11" s="84" t="str">
        <f t="shared" si="1"/>
        <v/>
      </c>
      <c r="V11" s="84" t="str">
        <f t="shared" si="1"/>
        <v/>
      </c>
      <c r="W11" s="84" t="str">
        <f t="shared" si="1"/>
        <v/>
      </c>
      <c r="X11" s="84" t="str">
        <f t="shared" si="1"/>
        <v/>
      </c>
      <c r="Y11" s="84" t="str">
        <f t="shared" si="1"/>
        <v/>
      </c>
      <c r="Z11" s="84" t="str">
        <f t="shared" si="1"/>
        <v/>
      </c>
      <c r="AA11" s="84" t="str">
        <f t="shared" si="1"/>
        <v/>
      </c>
      <c r="AB11" s="84" t="str">
        <f t="shared" si="1"/>
        <v/>
      </c>
      <c r="AC11" s="84" t="str">
        <f t="shared" si="1"/>
        <v/>
      </c>
      <c r="AD11" s="84" t="str">
        <f t="shared" si="1"/>
        <v/>
      </c>
      <c r="AE11" s="84" t="str">
        <f t="shared" si="1"/>
        <v/>
      </c>
    </row>
    <row r="12" spans="1:31" ht="13.5" customHeight="1" x14ac:dyDescent="0.2">
      <c r="A12" s="80">
        <v>10</v>
      </c>
      <c r="B12" s="81" t="s">
        <v>241</v>
      </c>
      <c r="C12" s="82"/>
      <c r="D12" s="83"/>
      <c r="E12" s="83"/>
      <c r="F12" s="83"/>
      <c r="G12" s="80" t="s">
        <v>44</v>
      </c>
      <c r="H12" s="84" t="str">
        <f t="shared" si="0"/>
        <v/>
      </c>
      <c r="I12" s="84" t="str">
        <f t="shared" si="0"/>
        <v/>
      </c>
      <c r="J12" s="84" t="str">
        <f t="shared" si="0"/>
        <v/>
      </c>
      <c r="K12" s="84" t="str">
        <f t="shared" si="0"/>
        <v/>
      </c>
      <c r="L12" s="84" t="str">
        <f t="shared" si="0"/>
        <v/>
      </c>
      <c r="M12" s="84" t="str">
        <f t="shared" si="0"/>
        <v/>
      </c>
      <c r="N12" s="84" t="str">
        <f t="shared" si="0"/>
        <v/>
      </c>
      <c r="O12" s="84" t="str">
        <f t="shared" si="0"/>
        <v/>
      </c>
      <c r="P12" s="84" t="str">
        <f t="shared" si="0"/>
        <v/>
      </c>
      <c r="Q12" s="84" t="str">
        <f t="shared" si="0"/>
        <v/>
      </c>
      <c r="R12" s="84" t="str">
        <f t="shared" si="1"/>
        <v/>
      </c>
      <c r="S12" s="84" t="str">
        <f t="shared" si="1"/>
        <v/>
      </c>
      <c r="T12" s="84" t="str">
        <f t="shared" si="1"/>
        <v/>
      </c>
      <c r="U12" s="84" t="str">
        <f t="shared" si="1"/>
        <v/>
      </c>
      <c r="V12" s="84" t="str">
        <f t="shared" si="1"/>
        <v/>
      </c>
      <c r="W12" s="84" t="str">
        <f t="shared" si="1"/>
        <v/>
      </c>
      <c r="X12" s="84" t="str">
        <f t="shared" si="1"/>
        <v/>
      </c>
      <c r="Y12" s="84" t="str">
        <f t="shared" si="1"/>
        <v/>
      </c>
      <c r="Z12" s="84" t="str">
        <f t="shared" si="1"/>
        <v/>
      </c>
      <c r="AA12" s="84" t="str">
        <f t="shared" si="1"/>
        <v/>
      </c>
      <c r="AB12" s="84" t="str">
        <f t="shared" si="1"/>
        <v/>
      </c>
      <c r="AC12" s="84" t="str">
        <f t="shared" si="1"/>
        <v/>
      </c>
      <c r="AD12" s="84" t="str">
        <f t="shared" si="1"/>
        <v/>
      </c>
      <c r="AE12" s="84" t="str">
        <f t="shared" si="1"/>
        <v/>
      </c>
    </row>
    <row r="13" spans="1:31" ht="13.5" customHeight="1" x14ac:dyDescent="0.2">
      <c r="A13" s="80">
        <v>11</v>
      </c>
      <c r="B13" s="81" t="s">
        <v>242</v>
      </c>
      <c r="C13" s="82"/>
      <c r="D13" s="83"/>
      <c r="E13" s="83"/>
      <c r="F13" s="83"/>
      <c r="G13" s="80" t="s">
        <v>44</v>
      </c>
      <c r="H13" s="84" t="str">
        <f t="shared" si="0"/>
        <v/>
      </c>
      <c r="I13" s="84" t="str">
        <f t="shared" si="0"/>
        <v/>
      </c>
      <c r="J13" s="84" t="str">
        <f t="shared" si="0"/>
        <v/>
      </c>
      <c r="K13" s="84" t="str">
        <f t="shared" si="0"/>
        <v/>
      </c>
      <c r="L13" s="84" t="str">
        <f t="shared" si="0"/>
        <v/>
      </c>
      <c r="M13" s="84" t="str">
        <f t="shared" si="0"/>
        <v/>
      </c>
      <c r="N13" s="84" t="str">
        <f t="shared" si="0"/>
        <v/>
      </c>
      <c r="O13" s="84" t="str">
        <f t="shared" si="0"/>
        <v/>
      </c>
      <c r="P13" s="84" t="str">
        <f t="shared" si="0"/>
        <v/>
      </c>
      <c r="Q13" s="84" t="str">
        <f t="shared" si="0"/>
        <v/>
      </c>
      <c r="R13" s="84" t="str">
        <f t="shared" si="1"/>
        <v/>
      </c>
      <c r="S13" s="84" t="str">
        <f t="shared" si="1"/>
        <v/>
      </c>
      <c r="T13" s="84" t="str">
        <f t="shared" si="1"/>
        <v/>
      </c>
      <c r="U13" s="84" t="str">
        <f t="shared" si="1"/>
        <v/>
      </c>
      <c r="V13" s="84" t="str">
        <f t="shared" si="1"/>
        <v/>
      </c>
      <c r="W13" s="84" t="str">
        <f t="shared" si="1"/>
        <v/>
      </c>
      <c r="X13" s="84" t="str">
        <f t="shared" si="1"/>
        <v/>
      </c>
      <c r="Y13" s="84" t="str">
        <f t="shared" si="1"/>
        <v/>
      </c>
      <c r="Z13" s="84" t="str">
        <f t="shared" si="1"/>
        <v/>
      </c>
      <c r="AA13" s="84" t="str">
        <f t="shared" si="1"/>
        <v/>
      </c>
      <c r="AB13" s="84" t="str">
        <f t="shared" si="1"/>
        <v/>
      </c>
      <c r="AC13" s="84" t="str">
        <f t="shared" si="1"/>
        <v/>
      </c>
      <c r="AD13" s="84" t="str">
        <f t="shared" si="1"/>
        <v/>
      </c>
      <c r="AE13" s="84" t="str">
        <f t="shared" si="1"/>
        <v/>
      </c>
    </row>
    <row r="14" spans="1:31" ht="16.5" customHeight="1" x14ac:dyDescent="0.2">
      <c r="A14" s="80">
        <v>12</v>
      </c>
      <c r="B14" s="85" t="s">
        <v>269</v>
      </c>
      <c r="C14" s="82">
        <v>46254</v>
      </c>
      <c r="D14" s="82">
        <v>46254</v>
      </c>
      <c r="E14" s="86"/>
      <c r="F14" s="86"/>
      <c r="G14" s="80" t="s">
        <v>32</v>
      </c>
      <c r="H14" s="84">
        <f t="shared" si="0"/>
        <v>2</v>
      </c>
      <c r="I14" s="87"/>
      <c r="J14" s="87"/>
      <c r="K14" s="87"/>
      <c r="L14" s="87"/>
      <c r="M14" s="87"/>
      <c r="N14" s="87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</row>
    <row r="15" spans="1:31" x14ac:dyDescent="0.2">
      <c r="A15" s="55" t="s">
        <v>243</v>
      </c>
      <c r="B15" s="56" t="s">
        <v>156</v>
      </c>
      <c r="C15" s="57" t="s">
        <v>32</v>
      </c>
      <c r="D15" s="58" t="s">
        <v>152</v>
      </c>
      <c r="E15" s="59" t="s">
        <v>234</v>
      </c>
      <c r="F15" s="60" t="s">
        <v>237</v>
      </c>
      <c r="G15" s="55"/>
    </row>
  </sheetData>
  <mergeCells count="1">
    <mergeCell ref="A1:AD1"/>
  </mergeCells>
  <conditionalFormatting sqref="H14">
    <cfRule type="expression" dxfId="16" priority="6">
      <formula>H14=1</formula>
    </cfRule>
    <cfRule type="expression" dxfId="15" priority="7">
      <formula>H14=2</formula>
    </cfRule>
    <cfRule type="expression" dxfId="14" priority="8">
      <formula>H14=3</formula>
    </cfRule>
    <cfRule type="expression" dxfId="13" priority="9">
      <formula>H14=4</formula>
    </cfRule>
    <cfRule type="expression" dxfId="12" priority="10">
      <formula>H14=5</formula>
    </cfRule>
  </conditionalFormatting>
  <conditionalFormatting sqref="H3:AE13">
    <cfRule type="expression" dxfId="11" priority="1">
      <formula>H3=1</formula>
    </cfRule>
    <cfRule type="expression" dxfId="10" priority="2">
      <formula>H3=2</formula>
    </cfRule>
    <cfRule type="expression" dxfId="9" priority="3">
      <formula>H3=3</formula>
    </cfRule>
    <cfRule type="expression" dxfId="8" priority="4">
      <formula>H3=4</formula>
    </cfRule>
    <cfRule type="expression" dxfId="7" priority="5">
      <formula>H3=5</formula>
    </cfRule>
  </conditionalFormatting>
  <dataValidations count="1">
    <dataValidation type="list" sqref="G3:G14" xr:uid="{00000000-0002-0000-0600-000000000000}">
      <formula1>"Não iniciado,Em andamento,Concluído,Atrasado,Prorrogado"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7"/>
  <sheetViews>
    <sheetView workbookViewId="0">
      <selection activeCell="A36" sqref="A36"/>
    </sheetView>
  </sheetViews>
  <sheetFormatPr baseColWidth="10" defaultColWidth="8.83203125" defaultRowHeight="15" x14ac:dyDescent="0.2"/>
  <cols>
    <col min="1" max="1" width="31" style="46" bestFit="1" customWidth="1"/>
    <col min="2" max="3" width="28" style="46" customWidth="1"/>
    <col min="4" max="4" width="10" style="46" customWidth="1"/>
    <col min="5" max="5" width="20" customWidth="1"/>
    <col min="6" max="6" width="16" customWidth="1"/>
    <col min="7" max="7" width="13" customWidth="1"/>
    <col min="8" max="8" width="17" customWidth="1"/>
    <col min="9" max="9" width="13" customWidth="1"/>
    <col min="10" max="10" width="14" customWidth="1"/>
    <col min="11" max="11" width="13" customWidth="1"/>
    <col min="12" max="14" width="20" customWidth="1"/>
    <col min="15" max="15" width="15" customWidth="1"/>
    <col min="16" max="16" width="10" customWidth="1"/>
    <col min="17" max="20" width="14" customWidth="1"/>
    <col min="21" max="21" width="12" customWidth="1"/>
    <col min="22" max="22" width="30" customWidth="1"/>
  </cols>
  <sheetData>
    <row r="1" spans="1:22" ht="19" x14ac:dyDescent="0.25">
      <c r="A1" s="136" t="s">
        <v>244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</row>
    <row r="3" spans="1:22" ht="32" x14ac:dyDescent="0.2">
      <c r="A3" s="43" t="s">
        <v>245</v>
      </c>
      <c r="B3" s="43" t="s">
        <v>246</v>
      </c>
      <c r="C3" s="43" t="s">
        <v>3</v>
      </c>
      <c r="D3" s="43" t="s">
        <v>4</v>
      </c>
      <c r="E3" s="43" t="s">
        <v>5</v>
      </c>
      <c r="F3" s="43" t="s">
        <v>26</v>
      </c>
      <c r="G3" s="43" t="s">
        <v>247</v>
      </c>
      <c r="H3" s="43" t="s">
        <v>248</v>
      </c>
      <c r="I3" s="43" t="s">
        <v>249</v>
      </c>
      <c r="J3" s="43" t="s">
        <v>250</v>
      </c>
      <c r="K3" s="43" t="s">
        <v>251</v>
      </c>
      <c r="L3" s="43" t="s">
        <v>252</v>
      </c>
      <c r="M3" s="43" t="s">
        <v>253</v>
      </c>
      <c r="N3" s="43" t="s">
        <v>15</v>
      </c>
      <c r="O3" s="43" t="s">
        <v>254</v>
      </c>
      <c r="P3" s="43" t="s">
        <v>255</v>
      </c>
      <c r="Q3" s="43" t="s">
        <v>11</v>
      </c>
      <c r="R3" s="43" t="s">
        <v>12</v>
      </c>
      <c r="S3" s="43" t="s">
        <v>13</v>
      </c>
      <c r="T3" s="43" t="s">
        <v>166</v>
      </c>
      <c r="U3" s="43" t="s">
        <v>18</v>
      </c>
      <c r="V3" s="43" t="s">
        <v>168</v>
      </c>
    </row>
    <row r="4" spans="1:22" ht="16" x14ac:dyDescent="0.2">
      <c r="A4" s="63">
        <v>1</v>
      </c>
      <c r="B4" s="63" t="s">
        <v>19</v>
      </c>
      <c r="C4" s="72" t="s">
        <v>20</v>
      </c>
      <c r="D4" s="64">
        <v>1.18</v>
      </c>
      <c r="E4" s="63" t="s">
        <v>21</v>
      </c>
      <c r="F4" s="63" t="s">
        <v>270</v>
      </c>
      <c r="G4" s="65"/>
      <c r="H4" s="63" t="s">
        <v>44</v>
      </c>
      <c r="I4" s="65"/>
      <c r="J4" s="63" t="s">
        <v>44</v>
      </c>
      <c r="K4" s="65"/>
      <c r="L4" s="63" t="s">
        <v>44</v>
      </c>
      <c r="M4" s="63" t="s">
        <v>44</v>
      </c>
      <c r="N4" s="63" t="s">
        <v>171</v>
      </c>
      <c r="O4" s="63" t="str">
        <f ca="1">IF(P4=0,"Não iniciado",IF(P4=1,"Concluído",IF(AND(TODAY()&gt;IF(T4&lt;&gt;"",T4,R4),P4&lt;1),"Atrasado","Em andamento")))</f>
        <v>Não iniciado</v>
      </c>
      <c r="P4" s="66">
        <f t="shared" ref="P4:P41" si="0">IFERROR((COUNTIF(F4,"Concluído")+COUNTIF(H4,"Concluído")+COUNTIF(J4,"Concluído")+COUNTIF(L4,"Concluído")+COUNTIF(M4,"Concluído"))/5,0)</f>
        <v>0</v>
      </c>
      <c r="Q4" s="65">
        <v>46239</v>
      </c>
      <c r="R4" s="65">
        <v>46265</v>
      </c>
      <c r="S4" s="65"/>
      <c r="T4" s="65"/>
      <c r="U4" s="63">
        <f t="shared" ref="U4:U41" ca="1" si="1">MAX(IF(T4&lt;&gt;"",T4,R4)-TODAY(),0)</f>
        <v>12</v>
      </c>
      <c r="V4" s="93" t="s">
        <v>272</v>
      </c>
    </row>
    <row r="5" spans="1:22" x14ac:dyDescent="0.2">
      <c r="A5" s="63">
        <v>2</v>
      </c>
      <c r="B5" s="63" t="s">
        <v>33</v>
      </c>
      <c r="C5" s="72" t="s">
        <v>34</v>
      </c>
      <c r="D5" s="64">
        <v>1.52</v>
      </c>
      <c r="E5" s="63"/>
      <c r="F5" s="63" t="s">
        <v>152</v>
      </c>
      <c r="G5" s="65">
        <v>46241</v>
      </c>
      <c r="H5" s="63" t="s">
        <v>44</v>
      </c>
      <c r="I5" s="65"/>
      <c r="J5" s="63" t="s">
        <v>44</v>
      </c>
      <c r="K5" s="65"/>
      <c r="L5" s="63" t="s">
        <v>44</v>
      </c>
      <c r="M5" s="63" t="s">
        <v>44</v>
      </c>
      <c r="N5" s="63" t="s">
        <v>171</v>
      </c>
      <c r="O5" s="63" t="str">
        <f t="shared" ref="O5:O41" ca="1" si="2">IF(P5=0,"Não iniciado",IF(P5=1,"Concluído",IF(AND(TODAY()&gt;IF(T5&lt;&gt;"",T5,R5),P5&lt;1),"Atrasado","Em andamento")))</f>
        <v>Em andamento</v>
      </c>
      <c r="P5" s="66">
        <f t="shared" si="0"/>
        <v>0.2</v>
      </c>
      <c r="Q5" s="65">
        <v>46239</v>
      </c>
      <c r="R5" s="65">
        <v>46265</v>
      </c>
      <c r="S5" s="65"/>
      <c r="T5" s="65"/>
      <c r="U5" s="63">
        <f t="shared" ca="1" si="1"/>
        <v>12</v>
      </c>
      <c r="V5" s="44"/>
    </row>
    <row r="6" spans="1:22" x14ac:dyDescent="0.2">
      <c r="A6" s="63">
        <v>3</v>
      </c>
      <c r="B6" s="63" t="s">
        <v>38</v>
      </c>
      <c r="C6" s="73" t="s">
        <v>39</v>
      </c>
      <c r="D6" s="64">
        <v>0.2</v>
      </c>
      <c r="E6" s="63" t="s">
        <v>40</v>
      </c>
      <c r="F6" s="63" t="s">
        <v>152</v>
      </c>
      <c r="G6" s="65">
        <v>46241</v>
      </c>
      <c r="H6" s="63" t="s">
        <v>44</v>
      </c>
      <c r="I6" s="65"/>
      <c r="J6" s="63" t="s">
        <v>44</v>
      </c>
      <c r="K6" s="65"/>
      <c r="L6" s="63" t="s">
        <v>44</v>
      </c>
      <c r="M6" s="63" t="s">
        <v>44</v>
      </c>
      <c r="N6" s="63" t="s">
        <v>171</v>
      </c>
      <c r="O6" s="63" t="str">
        <f t="shared" ca="1" si="2"/>
        <v>Em andamento</v>
      </c>
      <c r="P6" s="66">
        <f t="shared" si="0"/>
        <v>0.2</v>
      </c>
      <c r="Q6" s="65">
        <v>46239</v>
      </c>
      <c r="R6" s="65">
        <v>46265</v>
      </c>
      <c r="S6" s="65"/>
      <c r="T6" s="65"/>
      <c r="U6" s="63">
        <f t="shared" ca="1" si="1"/>
        <v>12</v>
      </c>
      <c r="V6" s="44"/>
    </row>
    <row r="7" spans="1:22" x14ac:dyDescent="0.2">
      <c r="A7" s="63">
        <v>4</v>
      </c>
      <c r="B7" s="63" t="s">
        <v>45</v>
      </c>
      <c r="C7" s="73" t="s">
        <v>46</v>
      </c>
      <c r="D7" s="64">
        <v>1.95</v>
      </c>
      <c r="E7" s="63"/>
      <c r="F7" s="63" t="s">
        <v>152</v>
      </c>
      <c r="G7" s="65">
        <v>46241</v>
      </c>
      <c r="H7" s="63" t="s">
        <v>44</v>
      </c>
      <c r="I7" s="65"/>
      <c r="J7" s="63" t="s">
        <v>44</v>
      </c>
      <c r="K7" s="65"/>
      <c r="L7" s="63" t="s">
        <v>44</v>
      </c>
      <c r="M7" s="63" t="s">
        <v>44</v>
      </c>
      <c r="N7" s="63" t="s">
        <v>171</v>
      </c>
      <c r="O7" s="63" t="str">
        <f t="shared" ca="1" si="2"/>
        <v>Em andamento</v>
      </c>
      <c r="P7" s="66">
        <f t="shared" si="0"/>
        <v>0.2</v>
      </c>
      <c r="Q7" s="65">
        <v>46239</v>
      </c>
      <c r="R7" s="65">
        <v>46265</v>
      </c>
      <c r="S7" s="65"/>
      <c r="T7" s="65"/>
      <c r="U7" s="63">
        <f t="shared" ca="1" si="1"/>
        <v>12</v>
      </c>
      <c r="V7" s="44"/>
    </row>
    <row r="8" spans="1:22" x14ac:dyDescent="0.2">
      <c r="A8" s="63">
        <v>5</v>
      </c>
      <c r="B8" s="63" t="s">
        <v>47</v>
      </c>
      <c r="C8" s="73" t="s">
        <v>48</v>
      </c>
      <c r="D8" s="64">
        <v>1.93</v>
      </c>
      <c r="E8" s="63"/>
      <c r="F8" s="63" t="s">
        <v>152</v>
      </c>
      <c r="G8" s="65">
        <v>46241</v>
      </c>
      <c r="H8" s="63" t="s">
        <v>44</v>
      </c>
      <c r="I8" s="65"/>
      <c r="J8" s="63" t="s">
        <v>44</v>
      </c>
      <c r="K8" s="65"/>
      <c r="L8" s="63" t="s">
        <v>44</v>
      </c>
      <c r="M8" s="63" t="s">
        <v>44</v>
      </c>
      <c r="N8" s="63" t="s">
        <v>171</v>
      </c>
      <c r="O8" s="63" t="str">
        <f t="shared" ca="1" si="2"/>
        <v>Em andamento</v>
      </c>
      <c r="P8" s="66">
        <f t="shared" si="0"/>
        <v>0.2</v>
      </c>
      <c r="Q8" s="65">
        <v>46239</v>
      </c>
      <c r="R8" s="65">
        <v>46265</v>
      </c>
      <c r="S8" s="65"/>
      <c r="T8" s="65"/>
      <c r="U8" s="63">
        <f t="shared" ca="1" si="1"/>
        <v>12</v>
      </c>
      <c r="V8" s="44"/>
    </row>
    <row r="9" spans="1:22" x14ac:dyDescent="0.2">
      <c r="A9" s="63">
        <v>6</v>
      </c>
      <c r="B9" s="63" t="s">
        <v>47</v>
      </c>
      <c r="C9" s="73" t="s">
        <v>49</v>
      </c>
      <c r="D9" s="64">
        <v>1.04</v>
      </c>
      <c r="E9" s="63"/>
      <c r="F9" s="63" t="s">
        <v>152</v>
      </c>
      <c r="G9" s="65">
        <v>46241</v>
      </c>
      <c r="H9" s="63" t="s">
        <v>44</v>
      </c>
      <c r="I9" s="65"/>
      <c r="J9" s="63" t="s">
        <v>44</v>
      </c>
      <c r="K9" s="65"/>
      <c r="L9" s="63" t="s">
        <v>44</v>
      </c>
      <c r="M9" s="63" t="s">
        <v>44</v>
      </c>
      <c r="N9" s="63" t="s">
        <v>171</v>
      </c>
      <c r="O9" s="63" t="str">
        <f t="shared" ca="1" si="2"/>
        <v>Em andamento</v>
      </c>
      <c r="P9" s="66">
        <f t="shared" si="0"/>
        <v>0.2</v>
      </c>
      <c r="Q9" s="65">
        <v>46239</v>
      </c>
      <c r="R9" s="65">
        <v>46265</v>
      </c>
      <c r="S9" s="65"/>
      <c r="T9" s="65"/>
      <c r="U9" s="63">
        <f t="shared" ca="1" si="1"/>
        <v>12</v>
      </c>
      <c r="V9" s="44"/>
    </row>
    <row r="10" spans="1:22" x14ac:dyDescent="0.2">
      <c r="A10" s="63">
        <v>7</v>
      </c>
      <c r="B10" s="63" t="s">
        <v>51</v>
      </c>
      <c r="C10" s="73" t="s">
        <v>52</v>
      </c>
      <c r="D10" s="64">
        <v>0.64</v>
      </c>
      <c r="E10" s="63"/>
      <c r="F10" s="63" t="s">
        <v>152</v>
      </c>
      <c r="G10" s="65">
        <v>46241</v>
      </c>
      <c r="H10" s="63" t="s">
        <v>44</v>
      </c>
      <c r="I10" s="65"/>
      <c r="J10" s="63" t="s">
        <v>44</v>
      </c>
      <c r="K10" s="65"/>
      <c r="L10" s="63" t="s">
        <v>44</v>
      </c>
      <c r="M10" s="63" t="s">
        <v>44</v>
      </c>
      <c r="N10" s="63" t="s">
        <v>171</v>
      </c>
      <c r="O10" s="63" t="str">
        <f t="shared" ca="1" si="2"/>
        <v>Em andamento</v>
      </c>
      <c r="P10" s="66">
        <f t="shared" si="0"/>
        <v>0.2</v>
      </c>
      <c r="Q10" s="65">
        <v>46239</v>
      </c>
      <c r="R10" s="65">
        <v>46265</v>
      </c>
      <c r="S10" s="65"/>
      <c r="T10" s="65"/>
      <c r="U10" s="63">
        <f t="shared" ca="1" si="1"/>
        <v>12</v>
      </c>
      <c r="V10" s="44"/>
    </row>
    <row r="11" spans="1:22" x14ac:dyDescent="0.2">
      <c r="A11" s="63">
        <v>8</v>
      </c>
      <c r="B11" s="63" t="s">
        <v>33</v>
      </c>
      <c r="C11" s="73" t="s">
        <v>54</v>
      </c>
      <c r="D11" s="64">
        <v>1.55</v>
      </c>
      <c r="E11" s="63"/>
      <c r="F11" s="63" t="s">
        <v>152</v>
      </c>
      <c r="G11" s="65">
        <v>46241</v>
      </c>
      <c r="H11" s="63" t="s">
        <v>44</v>
      </c>
      <c r="I11" s="65"/>
      <c r="J11" s="63" t="s">
        <v>44</v>
      </c>
      <c r="K11" s="65"/>
      <c r="L11" s="63" t="s">
        <v>44</v>
      </c>
      <c r="M11" s="63" t="s">
        <v>44</v>
      </c>
      <c r="N11" s="63" t="s">
        <v>171</v>
      </c>
      <c r="O11" s="63" t="str">
        <f t="shared" ca="1" si="2"/>
        <v>Em andamento</v>
      </c>
      <c r="P11" s="66">
        <f t="shared" si="0"/>
        <v>0.2</v>
      </c>
      <c r="Q11" s="65">
        <v>46239</v>
      </c>
      <c r="R11" s="65">
        <v>46265</v>
      </c>
      <c r="S11" s="65"/>
      <c r="T11" s="65"/>
      <c r="U11" s="63">
        <f t="shared" ca="1" si="1"/>
        <v>12</v>
      </c>
      <c r="V11" s="44"/>
    </row>
    <row r="12" spans="1:22" x14ac:dyDescent="0.2">
      <c r="A12" s="63">
        <v>9</v>
      </c>
      <c r="B12" s="63" t="s">
        <v>58</v>
      </c>
      <c r="C12" s="73" t="s">
        <v>59</v>
      </c>
      <c r="D12" s="64">
        <v>0.28000000000000003</v>
      </c>
      <c r="E12" s="63"/>
      <c r="F12" s="63" t="s">
        <v>152</v>
      </c>
      <c r="G12" s="65">
        <v>46241</v>
      </c>
      <c r="H12" s="63" t="s">
        <v>44</v>
      </c>
      <c r="I12" s="65"/>
      <c r="J12" s="63" t="s">
        <v>44</v>
      </c>
      <c r="K12" s="65"/>
      <c r="L12" s="63" t="s">
        <v>44</v>
      </c>
      <c r="M12" s="63" t="s">
        <v>44</v>
      </c>
      <c r="N12" s="63" t="s">
        <v>171</v>
      </c>
      <c r="O12" s="63" t="str">
        <f t="shared" ca="1" si="2"/>
        <v>Em andamento</v>
      </c>
      <c r="P12" s="66">
        <f t="shared" si="0"/>
        <v>0.2</v>
      </c>
      <c r="Q12" s="65">
        <v>46239</v>
      </c>
      <c r="R12" s="65">
        <v>46265</v>
      </c>
      <c r="S12" s="65"/>
      <c r="T12" s="65"/>
      <c r="U12" s="63">
        <f t="shared" ca="1" si="1"/>
        <v>12</v>
      </c>
      <c r="V12" s="44"/>
    </row>
    <row r="13" spans="1:22" x14ac:dyDescent="0.2">
      <c r="A13" s="49">
        <v>10</v>
      </c>
      <c r="B13" s="49" t="s">
        <v>60</v>
      </c>
      <c r="C13" s="73" t="s">
        <v>61</v>
      </c>
      <c r="D13" s="79">
        <v>1.79</v>
      </c>
      <c r="E13" s="49"/>
      <c r="F13" s="63" t="s">
        <v>152</v>
      </c>
      <c r="G13" s="65">
        <v>46241</v>
      </c>
      <c r="H13" s="49" t="s">
        <v>44</v>
      </c>
      <c r="I13" s="54"/>
      <c r="J13" s="49" t="s">
        <v>44</v>
      </c>
      <c r="K13" s="54"/>
      <c r="L13" s="49" t="s">
        <v>44</v>
      </c>
      <c r="M13" s="49" t="s">
        <v>44</v>
      </c>
      <c r="N13" s="49" t="s">
        <v>171</v>
      </c>
      <c r="O13" s="49" t="str">
        <f t="shared" ca="1" si="2"/>
        <v>Em andamento</v>
      </c>
      <c r="P13" s="71">
        <f t="shared" si="0"/>
        <v>0.2</v>
      </c>
      <c r="Q13" s="54">
        <v>46239</v>
      </c>
      <c r="R13" s="54">
        <v>46265</v>
      </c>
      <c r="S13" s="54"/>
      <c r="T13" s="54"/>
      <c r="U13" s="49">
        <f t="shared" ca="1" si="1"/>
        <v>12</v>
      </c>
    </row>
    <row r="14" spans="1:22" x14ac:dyDescent="0.2">
      <c r="A14" s="63">
        <v>11</v>
      </c>
      <c r="B14" s="63" t="s">
        <v>62</v>
      </c>
      <c r="C14" s="73" t="s">
        <v>63</v>
      </c>
      <c r="D14" s="64">
        <v>0.56000000000000005</v>
      </c>
      <c r="E14" s="63"/>
      <c r="F14" s="63" t="s">
        <v>152</v>
      </c>
      <c r="G14" s="65">
        <v>46241</v>
      </c>
      <c r="H14" s="63" t="s">
        <v>44</v>
      </c>
      <c r="I14" s="65"/>
      <c r="J14" s="63" t="s">
        <v>44</v>
      </c>
      <c r="K14" s="65"/>
      <c r="L14" s="63" t="s">
        <v>44</v>
      </c>
      <c r="M14" s="63" t="s">
        <v>44</v>
      </c>
      <c r="N14" s="63" t="s">
        <v>171</v>
      </c>
      <c r="O14" s="63" t="str">
        <f t="shared" ca="1" si="2"/>
        <v>Em andamento</v>
      </c>
      <c r="P14" s="66">
        <f t="shared" si="0"/>
        <v>0.2</v>
      </c>
      <c r="Q14" s="65">
        <v>46239</v>
      </c>
      <c r="R14" s="65">
        <v>46265</v>
      </c>
      <c r="S14" s="65"/>
      <c r="T14" s="65"/>
      <c r="U14" s="63">
        <f t="shared" ca="1" si="1"/>
        <v>12</v>
      </c>
      <c r="V14" s="44"/>
    </row>
    <row r="15" spans="1:22" x14ac:dyDescent="0.2">
      <c r="A15" s="63">
        <v>12</v>
      </c>
      <c r="B15" s="63" t="s">
        <v>65</v>
      </c>
      <c r="C15" s="73" t="s">
        <v>66</v>
      </c>
      <c r="D15" s="64">
        <v>1.29</v>
      </c>
      <c r="E15" s="63"/>
      <c r="F15" s="63" t="s">
        <v>152</v>
      </c>
      <c r="G15" s="65">
        <v>46241</v>
      </c>
      <c r="H15" s="63" t="s">
        <v>44</v>
      </c>
      <c r="I15" s="65"/>
      <c r="J15" s="63" t="s">
        <v>44</v>
      </c>
      <c r="K15" s="65"/>
      <c r="L15" s="63" t="s">
        <v>44</v>
      </c>
      <c r="M15" s="63" t="s">
        <v>44</v>
      </c>
      <c r="N15" s="63" t="s">
        <v>171</v>
      </c>
      <c r="O15" s="63" t="str">
        <f t="shared" ca="1" si="2"/>
        <v>Em andamento</v>
      </c>
      <c r="P15" s="66">
        <f t="shared" si="0"/>
        <v>0.2</v>
      </c>
      <c r="Q15" s="65">
        <v>46239</v>
      </c>
      <c r="R15" s="65">
        <v>46265</v>
      </c>
      <c r="S15" s="65"/>
      <c r="T15" s="65"/>
      <c r="U15" s="63">
        <f t="shared" ca="1" si="1"/>
        <v>12</v>
      </c>
      <c r="V15" s="44"/>
    </row>
    <row r="16" spans="1:22" x14ac:dyDescent="0.2">
      <c r="A16" s="63">
        <v>13</v>
      </c>
      <c r="B16" s="63" t="s">
        <v>67</v>
      </c>
      <c r="C16" s="73" t="s">
        <v>68</v>
      </c>
      <c r="D16" s="64">
        <v>0.97</v>
      </c>
      <c r="E16" s="63"/>
      <c r="F16" s="63" t="s">
        <v>152</v>
      </c>
      <c r="G16" s="65">
        <v>46241</v>
      </c>
      <c r="H16" s="63" t="s">
        <v>44</v>
      </c>
      <c r="I16" s="65"/>
      <c r="J16" s="63" t="s">
        <v>44</v>
      </c>
      <c r="K16" s="65"/>
      <c r="L16" s="63" t="s">
        <v>44</v>
      </c>
      <c r="M16" s="63" t="s">
        <v>44</v>
      </c>
      <c r="N16" s="63" t="s">
        <v>171</v>
      </c>
      <c r="O16" s="63" t="str">
        <f t="shared" ca="1" si="2"/>
        <v>Em andamento</v>
      </c>
      <c r="P16" s="66">
        <f t="shared" si="0"/>
        <v>0.2</v>
      </c>
      <c r="Q16" s="65">
        <v>46239</v>
      </c>
      <c r="R16" s="65">
        <v>46265</v>
      </c>
      <c r="S16" s="65"/>
      <c r="T16" s="65"/>
      <c r="U16" s="63">
        <f t="shared" ca="1" si="1"/>
        <v>12</v>
      </c>
      <c r="V16" s="44"/>
    </row>
    <row r="17" spans="1:22" x14ac:dyDescent="0.2">
      <c r="A17" s="63">
        <v>14</v>
      </c>
      <c r="B17" s="63" t="s">
        <v>69</v>
      </c>
      <c r="C17" s="73" t="s">
        <v>70</v>
      </c>
      <c r="D17" s="64">
        <v>0.43</v>
      </c>
      <c r="E17" s="63"/>
      <c r="F17" s="63" t="s">
        <v>152</v>
      </c>
      <c r="G17" s="65">
        <v>46241</v>
      </c>
      <c r="H17" s="63" t="s">
        <v>44</v>
      </c>
      <c r="I17" s="65"/>
      <c r="J17" s="63" t="s">
        <v>44</v>
      </c>
      <c r="K17" s="65"/>
      <c r="L17" s="63" t="s">
        <v>44</v>
      </c>
      <c r="M17" s="63" t="s">
        <v>44</v>
      </c>
      <c r="N17" s="63" t="s">
        <v>171</v>
      </c>
      <c r="O17" s="63" t="str">
        <f t="shared" ca="1" si="2"/>
        <v>Em andamento</v>
      </c>
      <c r="P17" s="66">
        <f t="shared" si="0"/>
        <v>0.2</v>
      </c>
      <c r="Q17" s="65">
        <v>46239</v>
      </c>
      <c r="R17" s="65">
        <v>46265</v>
      </c>
      <c r="S17" s="65"/>
      <c r="T17" s="65"/>
      <c r="U17" s="63">
        <f t="shared" ca="1" si="1"/>
        <v>12</v>
      </c>
      <c r="V17" s="44"/>
    </row>
    <row r="18" spans="1:22" x14ac:dyDescent="0.2">
      <c r="A18" s="63">
        <v>15</v>
      </c>
      <c r="B18" s="63" t="s">
        <v>71</v>
      </c>
      <c r="C18" s="73" t="s">
        <v>72</v>
      </c>
      <c r="D18" s="64">
        <v>1.37</v>
      </c>
      <c r="E18" s="63"/>
      <c r="F18" s="63" t="s">
        <v>152</v>
      </c>
      <c r="G18" s="65">
        <v>46241</v>
      </c>
      <c r="H18" s="63" t="s">
        <v>44</v>
      </c>
      <c r="I18" s="65"/>
      <c r="J18" s="63" t="s">
        <v>44</v>
      </c>
      <c r="K18" s="65"/>
      <c r="L18" s="63" t="s">
        <v>44</v>
      </c>
      <c r="M18" s="63" t="s">
        <v>44</v>
      </c>
      <c r="N18" s="63" t="s">
        <v>171</v>
      </c>
      <c r="O18" s="63" t="str">
        <f t="shared" ca="1" si="2"/>
        <v>Em andamento</v>
      </c>
      <c r="P18" s="66">
        <f t="shared" si="0"/>
        <v>0.2</v>
      </c>
      <c r="Q18" s="65">
        <v>46239</v>
      </c>
      <c r="R18" s="65">
        <v>46265</v>
      </c>
      <c r="S18" s="65"/>
      <c r="T18" s="65"/>
      <c r="U18" s="63">
        <f t="shared" ca="1" si="1"/>
        <v>12</v>
      </c>
      <c r="V18" s="44"/>
    </row>
    <row r="19" spans="1:22" x14ac:dyDescent="0.2">
      <c r="A19" s="63">
        <v>16</v>
      </c>
      <c r="B19" s="63" t="s">
        <v>73</v>
      </c>
      <c r="C19" s="73" t="s">
        <v>74</v>
      </c>
      <c r="D19" s="64">
        <v>0.05</v>
      </c>
      <c r="E19" s="63"/>
      <c r="F19" s="63" t="s">
        <v>152</v>
      </c>
      <c r="G19" s="65">
        <v>46241</v>
      </c>
      <c r="H19" s="63" t="s">
        <v>44</v>
      </c>
      <c r="I19" s="65"/>
      <c r="J19" s="63" t="s">
        <v>44</v>
      </c>
      <c r="K19" s="65"/>
      <c r="L19" s="63" t="s">
        <v>44</v>
      </c>
      <c r="M19" s="63" t="s">
        <v>44</v>
      </c>
      <c r="N19" s="63" t="s">
        <v>171</v>
      </c>
      <c r="O19" s="63" t="str">
        <f t="shared" ca="1" si="2"/>
        <v>Em andamento</v>
      </c>
      <c r="P19" s="66">
        <f t="shared" si="0"/>
        <v>0.2</v>
      </c>
      <c r="Q19" s="65">
        <v>46239</v>
      </c>
      <c r="R19" s="65">
        <v>46265</v>
      </c>
      <c r="S19" s="65"/>
      <c r="T19" s="65"/>
      <c r="U19" s="63">
        <f t="shared" ca="1" si="1"/>
        <v>12</v>
      </c>
      <c r="V19" s="44"/>
    </row>
    <row r="20" spans="1:22" x14ac:dyDescent="0.2">
      <c r="A20" s="63">
        <v>17</v>
      </c>
      <c r="B20" s="63" t="s">
        <v>73</v>
      </c>
      <c r="C20" s="73" t="s">
        <v>75</v>
      </c>
      <c r="D20" s="64">
        <v>0.84</v>
      </c>
      <c r="E20" s="63"/>
      <c r="F20" s="63" t="s">
        <v>152</v>
      </c>
      <c r="G20" s="65">
        <v>46241</v>
      </c>
      <c r="H20" s="63" t="s">
        <v>44</v>
      </c>
      <c r="I20" s="65"/>
      <c r="J20" s="63" t="s">
        <v>44</v>
      </c>
      <c r="K20" s="65"/>
      <c r="L20" s="63" t="s">
        <v>44</v>
      </c>
      <c r="M20" s="63" t="s">
        <v>44</v>
      </c>
      <c r="N20" s="63" t="s">
        <v>171</v>
      </c>
      <c r="O20" s="63" t="str">
        <f t="shared" ca="1" si="2"/>
        <v>Em andamento</v>
      </c>
      <c r="P20" s="66">
        <f t="shared" si="0"/>
        <v>0.2</v>
      </c>
      <c r="Q20" s="65">
        <v>46239</v>
      </c>
      <c r="R20" s="65">
        <v>46265</v>
      </c>
      <c r="S20" s="65"/>
      <c r="T20" s="65"/>
      <c r="U20" s="63">
        <f t="shared" ca="1" si="1"/>
        <v>12</v>
      </c>
      <c r="V20" s="44"/>
    </row>
    <row r="21" spans="1:22" x14ac:dyDescent="0.2">
      <c r="A21" s="63">
        <v>18</v>
      </c>
      <c r="B21" s="63" t="s">
        <v>73</v>
      </c>
      <c r="C21" s="73" t="s">
        <v>76</v>
      </c>
      <c r="D21" s="64">
        <v>0.3</v>
      </c>
      <c r="E21" s="63"/>
      <c r="F21" s="63" t="s">
        <v>152</v>
      </c>
      <c r="G21" s="65">
        <v>46241</v>
      </c>
      <c r="H21" s="63" t="s">
        <v>44</v>
      </c>
      <c r="I21" s="65"/>
      <c r="J21" s="63" t="s">
        <v>44</v>
      </c>
      <c r="K21" s="65"/>
      <c r="L21" s="63" t="s">
        <v>44</v>
      </c>
      <c r="M21" s="63" t="s">
        <v>44</v>
      </c>
      <c r="N21" s="63" t="s">
        <v>171</v>
      </c>
      <c r="O21" s="63" t="str">
        <f t="shared" ca="1" si="2"/>
        <v>Em andamento</v>
      </c>
      <c r="P21" s="66">
        <f t="shared" si="0"/>
        <v>0.2</v>
      </c>
      <c r="Q21" s="65">
        <v>46239</v>
      </c>
      <c r="R21" s="65">
        <v>46265</v>
      </c>
      <c r="S21" s="65"/>
      <c r="T21" s="65"/>
      <c r="U21" s="63">
        <f t="shared" ca="1" si="1"/>
        <v>12</v>
      </c>
      <c r="V21" s="44"/>
    </row>
    <row r="22" spans="1:22" x14ac:dyDescent="0.2">
      <c r="A22" s="63">
        <v>19</v>
      </c>
      <c r="B22" s="63" t="s">
        <v>77</v>
      </c>
      <c r="C22" s="73" t="s">
        <v>78</v>
      </c>
      <c r="D22" s="64">
        <v>0.55000000000000004</v>
      </c>
      <c r="E22" s="63"/>
      <c r="F22" s="63" t="s">
        <v>152</v>
      </c>
      <c r="G22" s="65">
        <v>46241</v>
      </c>
      <c r="H22" s="63" t="s">
        <v>44</v>
      </c>
      <c r="I22" s="65"/>
      <c r="J22" s="63" t="s">
        <v>44</v>
      </c>
      <c r="K22" s="65"/>
      <c r="L22" s="63" t="s">
        <v>44</v>
      </c>
      <c r="M22" s="63" t="s">
        <v>44</v>
      </c>
      <c r="N22" s="63" t="s">
        <v>171</v>
      </c>
      <c r="O22" s="63" t="str">
        <f t="shared" ca="1" si="2"/>
        <v>Em andamento</v>
      </c>
      <c r="P22" s="66">
        <f t="shared" si="0"/>
        <v>0.2</v>
      </c>
      <c r="Q22" s="65">
        <v>46239</v>
      </c>
      <c r="R22" s="65">
        <v>46265</v>
      </c>
      <c r="S22" s="65"/>
      <c r="T22" s="65"/>
      <c r="U22" s="63">
        <f t="shared" ca="1" si="1"/>
        <v>12</v>
      </c>
      <c r="V22" s="44"/>
    </row>
    <row r="23" spans="1:22" x14ac:dyDescent="0.2">
      <c r="A23" s="63">
        <v>20</v>
      </c>
      <c r="B23" s="63" t="s">
        <v>79</v>
      </c>
      <c r="C23" s="73" t="s">
        <v>80</v>
      </c>
      <c r="D23" s="64">
        <v>2.09</v>
      </c>
      <c r="E23" s="63"/>
      <c r="F23" s="63" t="s">
        <v>152</v>
      </c>
      <c r="G23" s="65">
        <v>46241</v>
      </c>
      <c r="H23" s="63" t="s">
        <v>44</v>
      </c>
      <c r="I23" s="65"/>
      <c r="J23" s="63" t="s">
        <v>44</v>
      </c>
      <c r="K23" s="65"/>
      <c r="L23" s="63" t="s">
        <v>44</v>
      </c>
      <c r="M23" s="63" t="s">
        <v>44</v>
      </c>
      <c r="N23" s="63" t="s">
        <v>171</v>
      </c>
      <c r="O23" s="63" t="str">
        <f t="shared" ca="1" si="2"/>
        <v>Em andamento</v>
      </c>
      <c r="P23" s="66">
        <f t="shared" si="0"/>
        <v>0.2</v>
      </c>
      <c r="Q23" s="65">
        <v>46239</v>
      </c>
      <c r="R23" s="65">
        <v>46265</v>
      </c>
      <c r="S23" s="65"/>
      <c r="T23" s="65"/>
      <c r="U23" s="63">
        <f t="shared" ca="1" si="1"/>
        <v>12</v>
      </c>
      <c r="V23" s="44"/>
    </row>
    <row r="24" spans="1:22" x14ac:dyDescent="0.2">
      <c r="A24" s="63">
        <v>21</v>
      </c>
      <c r="B24" s="63" t="s">
        <v>81</v>
      </c>
      <c r="C24" s="73" t="s">
        <v>82</v>
      </c>
      <c r="D24" s="64">
        <v>0.48</v>
      </c>
      <c r="E24" s="63"/>
      <c r="F24" s="63" t="s">
        <v>152</v>
      </c>
      <c r="G24" s="65">
        <v>46241</v>
      </c>
      <c r="H24" s="63" t="s">
        <v>44</v>
      </c>
      <c r="I24" s="65"/>
      <c r="J24" s="63" t="s">
        <v>44</v>
      </c>
      <c r="K24" s="65"/>
      <c r="L24" s="63" t="s">
        <v>44</v>
      </c>
      <c r="M24" s="63" t="s">
        <v>44</v>
      </c>
      <c r="N24" s="63" t="s">
        <v>171</v>
      </c>
      <c r="O24" s="63" t="str">
        <f t="shared" ca="1" si="2"/>
        <v>Em andamento</v>
      </c>
      <c r="P24" s="66">
        <f t="shared" si="0"/>
        <v>0.2</v>
      </c>
      <c r="Q24" s="65">
        <v>46239</v>
      </c>
      <c r="R24" s="65">
        <v>46265</v>
      </c>
      <c r="S24" s="65"/>
      <c r="T24" s="65"/>
      <c r="U24" s="63">
        <f t="shared" ca="1" si="1"/>
        <v>12</v>
      </c>
      <c r="V24" s="44"/>
    </row>
    <row r="25" spans="1:22" x14ac:dyDescent="0.2">
      <c r="A25" s="63">
        <v>22</v>
      </c>
      <c r="B25" s="63" t="s">
        <v>51</v>
      </c>
      <c r="C25" s="73" t="s">
        <v>83</v>
      </c>
      <c r="D25" s="64">
        <v>0.65</v>
      </c>
      <c r="E25" s="63"/>
      <c r="F25" s="63" t="s">
        <v>152</v>
      </c>
      <c r="G25" s="65">
        <v>46241</v>
      </c>
      <c r="H25" s="63" t="s">
        <v>44</v>
      </c>
      <c r="I25" s="65"/>
      <c r="J25" s="63" t="s">
        <v>44</v>
      </c>
      <c r="K25" s="65"/>
      <c r="L25" s="63" t="s">
        <v>44</v>
      </c>
      <c r="M25" s="63" t="s">
        <v>44</v>
      </c>
      <c r="N25" s="63" t="s">
        <v>171</v>
      </c>
      <c r="O25" s="63" t="str">
        <f t="shared" ca="1" si="2"/>
        <v>Em andamento</v>
      </c>
      <c r="P25" s="66">
        <f t="shared" si="0"/>
        <v>0.2</v>
      </c>
      <c r="Q25" s="65">
        <v>46239</v>
      </c>
      <c r="R25" s="65">
        <v>46265</v>
      </c>
      <c r="S25" s="65"/>
      <c r="T25" s="65"/>
      <c r="U25" s="63">
        <f t="shared" ca="1" si="1"/>
        <v>12</v>
      </c>
      <c r="V25" s="44"/>
    </row>
    <row r="26" spans="1:22" x14ac:dyDescent="0.2">
      <c r="A26" s="63">
        <v>23</v>
      </c>
      <c r="B26" s="63" t="s">
        <v>62</v>
      </c>
      <c r="C26" s="73" t="s">
        <v>84</v>
      </c>
      <c r="D26" s="64">
        <v>1.41</v>
      </c>
      <c r="E26" s="63"/>
      <c r="F26" s="63" t="s">
        <v>152</v>
      </c>
      <c r="G26" s="65">
        <v>46241</v>
      </c>
      <c r="H26" s="63" t="s">
        <v>44</v>
      </c>
      <c r="I26" s="65"/>
      <c r="J26" s="63" t="s">
        <v>44</v>
      </c>
      <c r="K26" s="65"/>
      <c r="L26" s="63" t="s">
        <v>44</v>
      </c>
      <c r="M26" s="63" t="s">
        <v>44</v>
      </c>
      <c r="N26" s="63" t="s">
        <v>171</v>
      </c>
      <c r="O26" s="63" t="str">
        <f t="shared" ca="1" si="2"/>
        <v>Em andamento</v>
      </c>
      <c r="P26" s="66">
        <f t="shared" si="0"/>
        <v>0.2</v>
      </c>
      <c r="Q26" s="65">
        <v>46239</v>
      </c>
      <c r="R26" s="65">
        <v>46265</v>
      </c>
      <c r="S26" s="65"/>
      <c r="T26" s="65"/>
      <c r="U26" s="63">
        <f t="shared" ca="1" si="1"/>
        <v>12</v>
      </c>
      <c r="V26" s="44"/>
    </row>
    <row r="27" spans="1:22" x14ac:dyDescent="0.2">
      <c r="A27" s="63">
        <v>24</v>
      </c>
      <c r="B27" s="63" t="s">
        <v>85</v>
      </c>
      <c r="C27" s="73" t="s">
        <v>86</v>
      </c>
      <c r="D27" s="64">
        <v>1.57</v>
      </c>
      <c r="E27" s="63"/>
      <c r="F27" s="63" t="s">
        <v>152</v>
      </c>
      <c r="G27" s="65">
        <v>46241</v>
      </c>
      <c r="H27" s="63" t="s">
        <v>44</v>
      </c>
      <c r="I27" s="65"/>
      <c r="J27" s="63" t="s">
        <v>44</v>
      </c>
      <c r="K27" s="65"/>
      <c r="L27" s="63" t="s">
        <v>44</v>
      </c>
      <c r="M27" s="63" t="s">
        <v>44</v>
      </c>
      <c r="N27" s="63" t="s">
        <v>171</v>
      </c>
      <c r="O27" s="63" t="str">
        <f t="shared" ca="1" si="2"/>
        <v>Em andamento</v>
      </c>
      <c r="P27" s="66">
        <f t="shared" si="0"/>
        <v>0.2</v>
      </c>
      <c r="Q27" s="65">
        <v>46239</v>
      </c>
      <c r="R27" s="65">
        <v>46265</v>
      </c>
      <c r="S27" s="65"/>
      <c r="T27" s="65"/>
      <c r="U27" s="63">
        <f t="shared" ca="1" si="1"/>
        <v>12</v>
      </c>
      <c r="V27" s="44"/>
    </row>
    <row r="28" spans="1:22" x14ac:dyDescent="0.2">
      <c r="A28" s="63">
        <v>25</v>
      </c>
      <c r="B28" s="63" t="s">
        <v>85</v>
      </c>
      <c r="C28" s="73" t="s">
        <v>87</v>
      </c>
      <c r="D28" s="64">
        <v>0.7</v>
      </c>
      <c r="E28" s="63"/>
      <c r="F28" s="63" t="s">
        <v>152</v>
      </c>
      <c r="G28" s="65">
        <v>46241</v>
      </c>
      <c r="H28" s="63" t="s">
        <v>44</v>
      </c>
      <c r="I28" s="65"/>
      <c r="J28" s="63" t="s">
        <v>44</v>
      </c>
      <c r="K28" s="65"/>
      <c r="L28" s="63" t="s">
        <v>44</v>
      </c>
      <c r="M28" s="63" t="s">
        <v>44</v>
      </c>
      <c r="N28" s="63" t="s">
        <v>171</v>
      </c>
      <c r="O28" s="63" t="str">
        <f t="shared" ca="1" si="2"/>
        <v>Em andamento</v>
      </c>
      <c r="P28" s="66">
        <f t="shared" si="0"/>
        <v>0.2</v>
      </c>
      <c r="Q28" s="65">
        <v>46239</v>
      </c>
      <c r="R28" s="65">
        <v>46265</v>
      </c>
      <c r="S28" s="65"/>
      <c r="T28" s="65"/>
      <c r="U28" s="63">
        <f t="shared" ca="1" si="1"/>
        <v>12</v>
      </c>
      <c r="V28" s="44"/>
    </row>
    <row r="29" spans="1:22" x14ac:dyDescent="0.2">
      <c r="A29" s="63">
        <v>26</v>
      </c>
      <c r="B29" s="63" t="s">
        <v>33</v>
      </c>
      <c r="C29" s="88" t="s">
        <v>88</v>
      </c>
      <c r="D29" s="64">
        <v>3.46</v>
      </c>
      <c r="E29" s="63"/>
      <c r="F29" s="63" t="s">
        <v>152</v>
      </c>
      <c r="G29" s="65">
        <v>46241</v>
      </c>
      <c r="H29" s="63" t="s">
        <v>152</v>
      </c>
      <c r="I29" s="65">
        <v>46251</v>
      </c>
      <c r="J29" s="63" t="s">
        <v>44</v>
      </c>
      <c r="K29" s="65"/>
      <c r="L29" s="63" t="s">
        <v>44</v>
      </c>
      <c r="M29" s="63" t="s">
        <v>44</v>
      </c>
      <c r="N29" s="63" t="s">
        <v>171</v>
      </c>
      <c r="O29" s="63" t="str">
        <f t="shared" ca="1" si="2"/>
        <v>Em andamento</v>
      </c>
      <c r="P29" s="66">
        <f>IFERROR((COUNTIF(F29,"Concluído")+COUNTIF(H29,"Concluído")+COUNTIF(J29,"Concluído")+COUNTIF(L29,"Concluído")+COUNTIF(M29,"Concluído"))/5,0)</f>
        <v>0.4</v>
      </c>
      <c r="Q29" s="65">
        <v>46239</v>
      </c>
      <c r="R29" s="65">
        <v>46265</v>
      </c>
      <c r="S29" s="65"/>
      <c r="T29" s="65"/>
      <c r="U29" s="63">
        <f t="shared" ca="1" si="1"/>
        <v>12</v>
      </c>
      <c r="V29" s="44"/>
    </row>
    <row r="30" spans="1:22" x14ac:dyDescent="0.2">
      <c r="A30" s="63">
        <v>27</v>
      </c>
      <c r="B30" s="63" t="s">
        <v>58</v>
      </c>
      <c r="C30" s="73" t="s">
        <v>89</v>
      </c>
      <c r="D30" s="64">
        <v>3.66</v>
      </c>
      <c r="E30" s="63"/>
      <c r="F30" s="63" t="s">
        <v>152</v>
      </c>
      <c r="G30" s="65">
        <v>46241</v>
      </c>
      <c r="H30" s="63" t="s">
        <v>44</v>
      </c>
      <c r="I30" s="65"/>
      <c r="J30" s="63" t="s">
        <v>44</v>
      </c>
      <c r="K30" s="65"/>
      <c r="L30" s="63" t="s">
        <v>44</v>
      </c>
      <c r="M30" s="63" t="s">
        <v>44</v>
      </c>
      <c r="N30" s="63" t="s">
        <v>171</v>
      </c>
      <c r="O30" s="63" t="str">
        <f t="shared" ca="1" si="2"/>
        <v>Em andamento</v>
      </c>
      <c r="P30" s="66">
        <f t="shared" si="0"/>
        <v>0.2</v>
      </c>
      <c r="Q30" s="65">
        <v>46239</v>
      </c>
      <c r="R30" s="65">
        <v>46265</v>
      </c>
      <c r="S30" s="65"/>
      <c r="T30" s="65"/>
      <c r="U30" s="63">
        <f t="shared" ca="1" si="1"/>
        <v>12</v>
      </c>
      <c r="V30" s="44"/>
    </row>
    <row r="31" spans="1:22" x14ac:dyDescent="0.2">
      <c r="A31" s="63">
        <v>28</v>
      </c>
      <c r="B31" s="63" t="s">
        <v>58</v>
      </c>
      <c r="C31" s="73" t="s">
        <v>90</v>
      </c>
      <c r="D31" s="64">
        <v>0.63</v>
      </c>
      <c r="E31" s="63"/>
      <c r="F31" s="63" t="s">
        <v>152</v>
      </c>
      <c r="G31" s="65">
        <v>46241</v>
      </c>
      <c r="H31" s="63" t="s">
        <v>44</v>
      </c>
      <c r="I31" s="65"/>
      <c r="J31" s="63" t="s">
        <v>44</v>
      </c>
      <c r="K31" s="65"/>
      <c r="L31" s="63" t="s">
        <v>44</v>
      </c>
      <c r="M31" s="63" t="s">
        <v>44</v>
      </c>
      <c r="N31" s="63" t="s">
        <v>171</v>
      </c>
      <c r="O31" s="63" t="str">
        <f t="shared" ca="1" si="2"/>
        <v>Em andamento</v>
      </c>
      <c r="P31" s="66">
        <f t="shared" si="0"/>
        <v>0.2</v>
      </c>
      <c r="Q31" s="65">
        <v>46239</v>
      </c>
      <c r="R31" s="65">
        <v>46265</v>
      </c>
      <c r="S31" s="65"/>
      <c r="T31" s="65"/>
      <c r="U31" s="63">
        <f t="shared" ca="1" si="1"/>
        <v>12</v>
      </c>
      <c r="V31" s="44"/>
    </row>
    <row r="32" spans="1:22" x14ac:dyDescent="0.2">
      <c r="A32" s="63">
        <v>29</v>
      </c>
      <c r="B32" s="63" t="s">
        <v>62</v>
      </c>
      <c r="C32" s="73" t="s">
        <v>91</v>
      </c>
      <c r="D32" s="64">
        <v>4.67</v>
      </c>
      <c r="E32" s="63"/>
      <c r="F32" s="63" t="s">
        <v>152</v>
      </c>
      <c r="G32" s="65">
        <v>46241</v>
      </c>
      <c r="H32" s="63" t="s">
        <v>44</v>
      </c>
      <c r="I32" s="65"/>
      <c r="J32" s="63" t="s">
        <v>44</v>
      </c>
      <c r="K32" s="65"/>
      <c r="L32" s="63" t="s">
        <v>44</v>
      </c>
      <c r="M32" s="63" t="s">
        <v>44</v>
      </c>
      <c r="N32" s="63" t="s">
        <v>171</v>
      </c>
      <c r="O32" s="63" t="str">
        <f t="shared" ca="1" si="2"/>
        <v>Em andamento</v>
      </c>
      <c r="P32" s="66">
        <f t="shared" si="0"/>
        <v>0.2</v>
      </c>
      <c r="Q32" s="65">
        <v>46239</v>
      </c>
      <c r="R32" s="65">
        <v>46265</v>
      </c>
      <c r="S32" s="65"/>
      <c r="T32" s="65"/>
      <c r="U32" s="63">
        <f t="shared" ca="1" si="1"/>
        <v>12</v>
      </c>
      <c r="V32" s="44"/>
    </row>
    <row r="33" spans="1:22" x14ac:dyDescent="0.2">
      <c r="A33" s="63">
        <v>30</v>
      </c>
      <c r="B33" s="63" t="s">
        <v>92</v>
      </c>
      <c r="C33" s="73" t="s">
        <v>93</v>
      </c>
      <c r="D33" s="64">
        <v>6.39</v>
      </c>
      <c r="E33" s="63" t="s">
        <v>40</v>
      </c>
      <c r="F33" s="63" t="s">
        <v>152</v>
      </c>
      <c r="G33" s="65">
        <v>46241</v>
      </c>
      <c r="H33" s="63" t="s">
        <v>44</v>
      </c>
      <c r="I33" s="65"/>
      <c r="J33" s="63" t="s">
        <v>44</v>
      </c>
      <c r="K33" s="65"/>
      <c r="L33" s="63" t="s">
        <v>44</v>
      </c>
      <c r="M33" s="63" t="s">
        <v>44</v>
      </c>
      <c r="N33" s="63" t="s">
        <v>171</v>
      </c>
      <c r="O33" s="63" t="str">
        <f t="shared" ca="1" si="2"/>
        <v>Em andamento</v>
      </c>
      <c r="P33" s="66">
        <f t="shared" si="0"/>
        <v>0.2</v>
      </c>
      <c r="Q33" s="65">
        <v>46239</v>
      </c>
      <c r="R33" s="65">
        <v>46265</v>
      </c>
      <c r="S33" s="65"/>
      <c r="T33" s="65"/>
      <c r="U33" s="63">
        <f t="shared" ca="1" si="1"/>
        <v>12</v>
      </c>
      <c r="V33" s="44"/>
    </row>
    <row r="34" spans="1:22" x14ac:dyDescent="0.2">
      <c r="A34" s="63">
        <v>31</v>
      </c>
      <c r="B34" s="67" t="s">
        <v>51</v>
      </c>
      <c r="C34" s="68" t="s">
        <v>94</v>
      </c>
      <c r="D34" s="69">
        <v>1.2982</v>
      </c>
      <c r="E34" s="63" t="s">
        <v>262</v>
      </c>
      <c r="F34" s="63" t="s">
        <v>152</v>
      </c>
      <c r="G34" s="65">
        <v>46241</v>
      </c>
      <c r="H34" s="63" t="s">
        <v>44</v>
      </c>
      <c r="I34" s="65"/>
      <c r="J34" s="63" t="s">
        <v>44</v>
      </c>
      <c r="K34" s="65"/>
      <c r="L34" s="63" t="s">
        <v>44</v>
      </c>
      <c r="M34" s="63" t="s">
        <v>44</v>
      </c>
      <c r="N34" s="63" t="s">
        <v>171</v>
      </c>
      <c r="O34" s="63" t="str">
        <f t="shared" ca="1" si="2"/>
        <v>Em andamento</v>
      </c>
      <c r="P34" s="66">
        <f t="shared" si="0"/>
        <v>0.2</v>
      </c>
      <c r="Q34" s="65">
        <v>46239</v>
      </c>
      <c r="R34" s="65">
        <v>46265</v>
      </c>
      <c r="S34" s="65"/>
      <c r="T34" s="65"/>
      <c r="U34" s="63">
        <f t="shared" ca="1" si="1"/>
        <v>12</v>
      </c>
      <c r="V34" s="44"/>
    </row>
    <row r="35" spans="1:22" x14ac:dyDescent="0.2">
      <c r="A35" s="63">
        <v>32</v>
      </c>
      <c r="B35" s="67" t="s">
        <v>77</v>
      </c>
      <c r="C35" s="68" t="s">
        <v>96</v>
      </c>
      <c r="D35" s="69">
        <v>0.74860000000000004</v>
      </c>
      <c r="E35" s="63"/>
      <c r="F35" s="63" t="s">
        <v>152</v>
      </c>
      <c r="G35" s="65">
        <v>46241</v>
      </c>
      <c r="H35" s="63" t="s">
        <v>44</v>
      </c>
      <c r="I35" s="65"/>
      <c r="J35" s="63" t="s">
        <v>44</v>
      </c>
      <c r="K35" s="65"/>
      <c r="L35" s="63" t="s">
        <v>44</v>
      </c>
      <c r="M35" s="63" t="s">
        <v>44</v>
      </c>
      <c r="N35" s="63" t="s">
        <v>171</v>
      </c>
      <c r="O35" s="63" t="str">
        <f t="shared" ca="1" si="2"/>
        <v>Em andamento</v>
      </c>
      <c r="P35" s="66">
        <f t="shared" si="0"/>
        <v>0.2</v>
      </c>
      <c r="Q35" s="65">
        <v>46239</v>
      </c>
      <c r="R35" s="65">
        <v>46265</v>
      </c>
      <c r="S35" s="65"/>
      <c r="T35" s="65"/>
      <c r="U35" s="63">
        <f t="shared" ca="1" si="1"/>
        <v>12</v>
      </c>
      <c r="V35" s="44"/>
    </row>
    <row r="36" spans="1:22" ht="16" x14ac:dyDescent="0.2">
      <c r="A36" s="63">
        <v>33</v>
      </c>
      <c r="B36" s="67" t="s">
        <v>45</v>
      </c>
      <c r="C36" s="70" t="s">
        <v>97</v>
      </c>
      <c r="D36" s="69">
        <v>0.64839999999999998</v>
      </c>
      <c r="E36" s="63" t="s">
        <v>98</v>
      </c>
      <c r="F36" s="63" t="s">
        <v>271</v>
      </c>
      <c r="G36" s="65"/>
      <c r="H36" s="63" t="s">
        <v>44</v>
      </c>
      <c r="I36" s="65"/>
      <c r="J36" s="63" t="s">
        <v>44</v>
      </c>
      <c r="K36" s="65"/>
      <c r="L36" s="63" t="s">
        <v>44</v>
      </c>
      <c r="M36" s="63" t="s">
        <v>44</v>
      </c>
      <c r="N36" s="63" t="s">
        <v>171</v>
      </c>
      <c r="O36" s="63" t="str">
        <f t="shared" ca="1" si="2"/>
        <v>Não iniciado</v>
      </c>
      <c r="P36" s="66">
        <f t="shared" si="0"/>
        <v>0</v>
      </c>
      <c r="Q36" s="65">
        <v>46239</v>
      </c>
      <c r="R36" s="65">
        <v>46265</v>
      </c>
      <c r="S36" s="65"/>
      <c r="T36" s="65"/>
      <c r="U36" s="63">
        <f t="shared" ca="1" si="1"/>
        <v>12</v>
      </c>
      <c r="V36" s="93" t="s">
        <v>273</v>
      </c>
    </row>
    <row r="37" spans="1:22" ht="16" x14ac:dyDescent="0.2">
      <c r="A37" s="63">
        <v>34</v>
      </c>
      <c r="B37" s="67" t="s">
        <v>73</v>
      </c>
      <c r="C37" s="70" t="s">
        <v>99</v>
      </c>
      <c r="D37" s="69">
        <v>1.2756000000000001</v>
      </c>
      <c r="E37" s="63"/>
      <c r="F37" s="63" t="s">
        <v>271</v>
      </c>
      <c r="G37" s="65"/>
      <c r="H37" s="63" t="s">
        <v>44</v>
      </c>
      <c r="I37" s="65"/>
      <c r="J37" s="63" t="s">
        <v>44</v>
      </c>
      <c r="K37" s="65"/>
      <c r="L37" s="63" t="s">
        <v>44</v>
      </c>
      <c r="M37" s="63" t="s">
        <v>44</v>
      </c>
      <c r="N37" s="63" t="s">
        <v>171</v>
      </c>
      <c r="O37" s="63" t="str">
        <f t="shared" ca="1" si="2"/>
        <v>Não iniciado</v>
      </c>
      <c r="P37" s="66">
        <f t="shared" si="0"/>
        <v>0</v>
      </c>
      <c r="Q37" s="65">
        <v>46239</v>
      </c>
      <c r="R37" s="65">
        <v>46265</v>
      </c>
      <c r="S37" s="65"/>
      <c r="T37" s="65"/>
      <c r="U37" s="63">
        <f t="shared" ca="1" si="1"/>
        <v>12</v>
      </c>
      <c r="V37" s="93" t="s">
        <v>273</v>
      </c>
    </row>
    <row r="38" spans="1:22" ht="16" x14ac:dyDescent="0.2">
      <c r="A38" s="63">
        <v>35</v>
      </c>
      <c r="B38" s="67" t="s">
        <v>100</v>
      </c>
      <c r="C38" s="70" t="s">
        <v>101</v>
      </c>
      <c r="D38" s="69">
        <v>0.37840000000000001</v>
      </c>
      <c r="E38" s="63"/>
      <c r="F38" s="63" t="s">
        <v>271</v>
      </c>
      <c r="G38" s="65"/>
      <c r="H38" s="63" t="s">
        <v>44</v>
      </c>
      <c r="I38" s="65"/>
      <c r="J38" s="63" t="s">
        <v>44</v>
      </c>
      <c r="K38" s="65"/>
      <c r="L38" s="63" t="s">
        <v>44</v>
      </c>
      <c r="M38" s="63" t="s">
        <v>44</v>
      </c>
      <c r="N38" s="63" t="s">
        <v>171</v>
      </c>
      <c r="O38" s="63" t="str">
        <f t="shared" ca="1" si="2"/>
        <v>Não iniciado</v>
      </c>
      <c r="P38" s="66">
        <f t="shared" si="0"/>
        <v>0</v>
      </c>
      <c r="Q38" s="65">
        <v>46239</v>
      </c>
      <c r="R38" s="65">
        <v>46265</v>
      </c>
      <c r="S38" s="65"/>
      <c r="T38" s="65"/>
      <c r="U38" s="63">
        <f t="shared" ca="1" si="1"/>
        <v>12</v>
      </c>
      <c r="V38" s="93" t="s">
        <v>273</v>
      </c>
    </row>
    <row r="39" spans="1:22" ht="16" x14ac:dyDescent="0.2">
      <c r="A39" s="63">
        <v>36</v>
      </c>
      <c r="B39" s="67" t="s">
        <v>47</v>
      </c>
      <c r="C39" s="70" t="s">
        <v>102</v>
      </c>
      <c r="D39" s="69">
        <v>0.35980000000000001</v>
      </c>
      <c r="E39" s="63"/>
      <c r="F39" s="63" t="s">
        <v>271</v>
      </c>
      <c r="G39" s="65"/>
      <c r="H39" s="63" t="s">
        <v>44</v>
      </c>
      <c r="I39" s="65"/>
      <c r="J39" s="63" t="s">
        <v>44</v>
      </c>
      <c r="K39" s="65"/>
      <c r="L39" s="63" t="s">
        <v>44</v>
      </c>
      <c r="M39" s="63" t="s">
        <v>44</v>
      </c>
      <c r="N39" s="63" t="s">
        <v>171</v>
      </c>
      <c r="O39" s="63" t="str">
        <f t="shared" ca="1" si="2"/>
        <v>Não iniciado</v>
      </c>
      <c r="P39" s="66">
        <f t="shared" si="0"/>
        <v>0</v>
      </c>
      <c r="Q39" s="65">
        <v>46239</v>
      </c>
      <c r="R39" s="65">
        <v>46265</v>
      </c>
      <c r="S39" s="65"/>
      <c r="T39" s="65"/>
      <c r="U39" s="63">
        <f t="shared" ca="1" si="1"/>
        <v>12</v>
      </c>
      <c r="V39" s="93" t="s">
        <v>273</v>
      </c>
    </row>
    <row r="40" spans="1:22" x14ac:dyDescent="0.2">
      <c r="A40" s="63">
        <v>37</v>
      </c>
      <c r="B40" s="67" t="s">
        <v>85</v>
      </c>
      <c r="C40" s="70" t="s">
        <v>103</v>
      </c>
      <c r="D40" s="69">
        <v>0.63919999999999999</v>
      </c>
      <c r="E40" s="63"/>
      <c r="F40" s="63" t="s">
        <v>152</v>
      </c>
      <c r="G40" s="65">
        <v>46241</v>
      </c>
      <c r="H40" s="63" t="s">
        <v>44</v>
      </c>
      <c r="I40" s="65"/>
      <c r="J40" s="63" t="s">
        <v>44</v>
      </c>
      <c r="K40" s="65"/>
      <c r="L40" s="63" t="s">
        <v>44</v>
      </c>
      <c r="M40" s="63" t="s">
        <v>44</v>
      </c>
      <c r="N40" s="63" t="s">
        <v>171</v>
      </c>
      <c r="O40" s="63" t="str">
        <f t="shared" ca="1" si="2"/>
        <v>Em andamento</v>
      </c>
      <c r="P40" s="66">
        <f t="shared" si="0"/>
        <v>0.2</v>
      </c>
      <c r="Q40" s="65">
        <v>46239</v>
      </c>
      <c r="R40" s="65">
        <v>46265</v>
      </c>
      <c r="S40" s="65"/>
      <c r="T40" s="65"/>
      <c r="U40" s="63">
        <f t="shared" ca="1" si="1"/>
        <v>12</v>
      </c>
      <c r="V40" s="44"/>
    </row>
    <row r="41" spans="1:22" x14ac:dyDescent="0.2">
      <c r="A41" s="63">
        <v>38</v>
      </c>
      <c r="B41" s="67" t="s">
        <v>85</v>
      </c>
      <c r="C41" s="70" t="s">
        <v>104</v>
      </c>
      <c r="D41" s="69">
        <v>0.76349999999999996</v>
      </c>
      <c r="E41" s="63" t="s">
        <v>98</v>
      </c>
      <c r="F41" s="63" t="s">
        <v>152</v>
      </c>
      <c r="G41" s="65">
        <v>46241</v>
      </c>
      <c r="H41" s="63" t="s">
        <v>44</v>
      </c>
      <c r="I41" s="65"/>
      <c r="J41" s="63" t="s">
        <v>44</v>
      </c>
      <c r="K41" s="65"/>
      <c r="L41" s="63" t="s">
        <v>44</v>
      </c>
      <c r="M41" s="63" t="s">
        <v>44</v>
      </c>
      <c r="N41" s="63" t="s">
        <v>171</v>
      </c>
      <c r="O41" s="63" t="str">
        <f t="shared" ca="1" si="2"/>
        <v>Em andamento</v>
      </c>
      <c r="P41" s="66">
        <f t="shared" si="0"/>
        <v>0.2</v>
      </c>
      <c r="Q41" s="65">
        <v>46239</v>
      </c>
      <c r="R41" s="65">
        <v>46265</v>
      </c>
      <c r="S41" s="65"/>
      <c r="T41" s="65"/>
      <c r="U41" s="63">
        <f t="shared" ca="1" si="1"/>
        <v>12</v>
      </c>
      <c r="V41" s="44"/>
    </row>
    <row r="43" spans="1:22" x14ac:dyDescent="0.2">
      <c r="A43" s="45" t="s">
        <v>146</v>
      </c>
      <c r="B43" s="45" t="s">
        <v>147</v>
      </c>
      <c r="C43" s="45" t="s">
        <v>165</v>
      </c>
      <c r="D43" s="45" t="s">
        <v>145</v>
      </c>
      <c r="E43" s="45" t="s">
        <v>146</v>
      </c>
      <c r="F43" s="45" t="s">
        <v>147</v>
      </c>
      <c r="G43" s="45" t="s">
        <v>165</v>
      </c>
      <c r="H43" s="45" t="s">
        <v>145</v>
      </c>
    </row>
    <row r="44" spans="1:22" x14ac:dyDescent="0.2">
      <c r="A44" s="49" t="s">
        <v>256</v>
      </c>
      <c r="B44" s="49">
        <v>33</v>
      </c>
      <c r="C44" s="49">
        <v>38</v>
      </c>
      <c r="D44" s="71">
        <f>IFERROR(B44/C44,0)</f>
        <v>0.86842105263157898</v>
      </c>
      <c r="E44" s="49" t="s">
        <v>257</v>
      </c>
      <c r="F44" s="49">
        <f ca="1">COUNTIF(O4:O41,"Não iniciado")</f>
        <v>5</v>
      </c>
      <c r="G44" s="49">
        <v>38</v>
      </c>
      <c r="H44" s="71">
        <f ca="1">IFERROR(F44/G44,0)</f>
        <v>0.13157894736842105</v>
      </c>
    </row>
    <row r="45" spans="1:22" x14ac:dyDescent="0.2">
      <c r="A45" s="49" t="s">
        <v>258</v>
      </c>
      <c r="B45" s="49">
        <v>41.87</v>
      </c>
      <c r="C45" s="49">
        <v>50.26</v>
      </c>
      <c r="D45" s="71">
        <f>IFERROR(B45/C45,0)</f>
        <v>0.8330680461599681</v>
      </c>
      <c r="E45" s="49" t="s">
        <v>32</v>
      </c>
      <c r="F45" s="49">
        <v>5</v>
      </c>
      <c r="G45" s="49">
        <v>38</v>
      </c>
      <c r="H45" s="71">
        <f>IFERROR(F45/G45,0)</f>
        <v>0.13157894736842105</v>
      </c>
    </row>
    <row r="46" spans="1:22" x14ac:dyDescent="0.2">
      <c r="A46" s="49" t="s">
        <v>259</v>
      </c>
      <c r="B46" s="49">
        <v>1</v>
      </c>
      <c r="C46" s="49">
        <v>38</v>
      </c>
      <c r="D46" s="71">
        <f>IFERROR(B46/C46,0)</f>
        <v>2.6315789473684209E-2</v>
      </c>
      <c r="E46" s="49" t="s">
        <v>57</v>
      </c>
      <c r="F46" s="49">
        <v>1</v>
      </c>
      <c r="G46" s="49">
        <v>38</v>
      </c>
      <c r="H46" s="71">
        <f>IFERROR(F46/G46,0)</f>
        <v>2.6315789473684209E-2</v>
      </c>
    </row>
    <row r="47" spans="1:22" x14ac:dyDescent="0.2">
      <c r="A47" s="49" t="s">
        <v>260</v>
      </c>
      <c r="B47" s="49">
        <f>COUNTIF(J4:J41,"Concluído")</f>
        <v>0</v>
      </c>
      <c r="C47" s="49">
        <v>38</v>
      </c>
      <c r="D47" s="71">
        <f>IFERROR(B47/C47,0)</f>
        <v>0</v>
      </c>
      <c r="E47" s="49" t="s">
        <v>261</v>
      </c>
      <c r="F47" s="49">
        <f ca="1">COUNTIF(O4:O41,"Atrasado")</f>
        <v>0</v>
      </c>
      <c r="G47" s="49">
        <v>38</v>
      </c>
      <c r="H47" s="71">
        <f ca="1">IFERROR(F47/G47,0)</f>
        <v>0</v>
      </c>
    </row>
  </sheetData>
  <mergeCells count="1">
    <mergeCell ref="A1:V1"/>
  </mergeCells>
  <conditionalFormatting sqref="O4:O41">
    <cfRule type="expression" dxfId="6" priority="2">
      <formula>O4="Concluído"</formula>
    </cfRule>
    <cfRule type="expression" dxfId="5" priority="3">
      <formula>O4="Em andamento"</formula>
    </cfRule>
    <cfRule type="expression" dxfId="4" priority="4">
      <formula>O4="Atrasado"</formula>
    </cfRule>
  </conditionalFormatting>
  <conditionalFormatting sqref="P4:P41">
    <cfRule type="dataBar" priority="1">
      <dataBar>
        <cfvo type="min"/>
        <cfvo type="max"/>
        <color rgb="FF2E7D32"/>
      </dataBar>
    </cfRule>
    <cfRule type="dataBar" priority="5">
      <dataBar>
        <cfvo type="min"/>
        <cfvo type="max"/>
        <color rgb="FF2E7D32"/>
      </dataBar>
      <extLst>
        <ext xmlns:x14="http://schemas.microsoft.com/office/spreadsheetml/2009/9/main" uri="{B025F937-C7B1-47D3-B67F-A62EFF666E3E}">
          <x14:id>{358AAC45-C33B-8C3D-A720-93DC95098336}</x14:id>
        </ext>
      </extLst>
    </cfRule>
  </conditionalFormatting>
  <dataValidations count="2">
    <dataValidation type="list" sqref="H4:H41 L4:M41 J4:J41 F4:F41" xr:uid="{00000000-0002-0000-0700-000000000000}">
      <formula1>"Não iniciado,Em andamento,Concluído,Suspenso,Não aplicável"</formula1>
    </dataValidation>
    <dataValidation type="list" sqref="N4:N41" xr:uid="{00000000-0002-0000-0700-000004000000}">
      <formula1>"Equipe de Campo,Equipe de Manutenção,Equipe de Irrigação,Gestão Técnica"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8AAC45-C33B-8C3D-A720-93DC95098336}">
            <x14:dataBar>
              <x14:cfvo type="min"/>
              <x14:cfvo type="max"/>
              <x14:negativeFillColor auto="1"/>
              <x14:axisColor auto="1"/>
            </x14:dataBar>
          </x14:cfRule>
          <xm:sqref>P4:P41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"/>
  <sheetViews>
    <sheetView tabSelected="1" topLeftCell="A41" workbookViewId="0">
      <selection activeCell="O5" sqref="O5"/>
    </sheetView>
  </sheetViews>
  <sheetFormatPr baseColWidth="10" defaultColWidth="8.83203125" defaultRowHeight="15" x14ac:dyDescent="0.2"/>
  <cols>
    <col min="1" max="1" width="19.83203125" bestFit="1" customWidth="1"/>
    <col min="2" max="3" width="14" customWidth="1"/>
    <col min="4" max="4" width="19" bestFit="1" customWidth="1"/>
    <col min="5" max="5" width="9.83203125" bestFit="1" customWidth="1"/>
    <col min="6" max="8" width="14" customWidth="1"/>
    <col min="9" max="9" width="4" customWidth="1"/>
    <col min="10" max="12" width="14" customWidth="1"/>
    <col min="13" max="14" width="4" customWidth="1"/>
  </cols>
  <sheetData>
    <row r="1" spans="1:14" ht="32" customHeight="1" x14ac:dyDescent="0.3">
      <c r="A1" s="95">
        <v>10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</row>
    <row r="2" spans="1:14" x14ac:dyDescent="0.2">
      <c r="A2" s="96" t="s">
        <v>128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</row>
    <row r="3" spans="1:14" x14ac:dyDescent="0.2">
      <c r="B3" s="99" t="s">
        <v>129</v>
      </c>
      <c r="C3" s="99"/>
      <c r="D3" s="99"/>
      <c r="F3" s="99" t="s">
        <v>130</v>
      </c>
      <c r="G3" s="99"/>
      <c r="H3" s="99"/>
      <c r="J3" s="99" t="s">
        <v>131</v>
      </c>
      <c r="K3" s="99"/>
      <c r="L3" s="99"/>
    </row>
    <row r="4" spans="1:14" x14ac:dyDescent="0.2">
      <c r="B4" s="97">
        <f>IFERROR(AVERAGE(MIN(C16/Configurações!B4,1),MIN(H16/Configurações!B5,1)),0)</f>
        <v>0.85074454939577349</v>
      </c>
      <c r="C4" s="98"/>
      <c r="D4" s="98"/>
      <c r="F4" s="100">
        <f>MIN(C16,Configurações!B4)</f>
        <v>33</v>
      </c>
      <c r="G4" s="98"/>
      <c r="H4" s="98"/>
      <c r="J4" s="101">
        <f>MIN(H16,Configurações!B5)</f>
        <v>41.87</v>
      </c>
      <c r="K4" s="98"/>
      <c r="L4" s="98"/>
    </row>
    <row r="5" spans="1:14" x14ac:dyDescent="0.2">
      <c r="B5" s="98"/>
      <c r="C5" s="98"/>
      <c r="D5" s="98"/>
      <c r="F5" s="98"/>
      <c r="G5" s="98"/>
      <c r="H5" s="98"/>
      <c r="J5" s="98"/>
      <c r="K5" s="98"/>
      <c r="L5" s="98"/>
    </row>
    <row r="6" spans="1:14" x14ac:dyDescent="0.2">
      <c r="B6" s="98"/>
      <c r="C6" s="98"/>
      <c r="D6" s="98"/>
      <c r="F6" s="98"/>
      <c r="G6" s="98"/>
      <c r="H6" s="98"/>
      <c r="J6" s="98"/>
      <c r="K6" s="98"/>
      <c r="L6" s="98"/>
    </row>
    <row r="7" spans="1:14" x14ac:dyDescent="0.2">
      <c r="B7" s="99" t="s">
        <v>132</v>
      </c>
      <c r="C7" s="99"/>
      <c r="D7" s="99"/>
      <c r="F7" s="99" t="s">
        <v>133</v>
      </c>
      <c r="G7" s="99"/>
      <c r="H7" s="99"/>
      <c r="J7" s="99" t="s">
        <v>134</v>
      </c>
      <c r="K7" s="99"/>
      <c r="L7" s="99"/>
    </row>
    <row r="8" spans="1:14" x14ac:dyDescent="0.2">
      <c r="B8" s="102">
        <f>COUNTIF(Planejamento!J4:J7,"Concluído")</f>
        <v>2</v>
      </c>
      <c r="C8" s="98"/>
      <c r="D8" s="98"/>
      <c r="F8" s="103">
        <f>MAX(Configurações!B8-Configurações!B10,0)</f>
        <v>25</v>
      </c>
      <c r="G8" s="98"/>
      <c r="H8" s="98"/>
      <c r="J8" s="104">
        <f>COUNTIF(Planejamento!J4:J7,"Prorrogado")+COUNTIF(Planejamento!J4:J7,"Atrasado")</f>
        <v>0</v>
      </c>
      <c r="K8" s="98"/>
      <c r="L8" s="98"/>
    </row>
    <row r="9" spans="1:14" x14ac:dyDescent="0.2">
      <c r="B9" s="98"/>
      <c r="C9" s="98"/>
      <c r="D9" s="98"/>
      <c r="F9" s="98"/>
      <c r="G9" s="98"/>
      <c r="H9" s="98"/>
      <c r="J9" s="98"/>
      <c r="K9" s="98"/>
      <c r="L9" s="98"/>
    </row>
    <row r="10" spans="1:14" x14ac:dyDescent="0.2">
      <c r="B10" s="98"/>
      <c r="C10" s="98"/>
      <c r="D10" s="98"/>
      <c r="F10" s="98"/>
      <c r="G10" s="98"/>
      <c r="H10" s="98"/>
      <c r="J10" s="98"/>
      <c r="K10" s="98"/>
      <c r="L10" s="98"/>
    </row>
    <row r="12" spans="1:14" x14ac:dyDescent="0.2">
      <c r="B12" s="107" t="s">
        <v>135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</row>
    <row r="13" spans="1:14" x14ac:dyDescent="0.2">
      <c r="B13" s="108">
        <f>B4</f>
        <v>0.85074454939577349</v>
      </c>
      <c r="C13" s="109"/>
      <c r="D13" s="109"/>
      <c r="E13" s="109"/>
      <c r="F13" s="109"/>
      <c r="G13" s="109"/>
      <c r="H13" s="109"/>
      <c r="I13" s="109"/>
      <c r="J13" s="109"/>
      <c r="K13" s="109"/>
      <c r="L13" s="109"/>
    </row>
    <row r="14" spans="1:14" x14ac:dyDescent="0.2"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09"/>
    </row>
    <row r="15" spans="1:14" x14ac:dyDescent="0.2">
      <c r="A15" s="110" t="s">
        <v>136</v>
      </c>
      <c r="B15" s="110"/>
      <c r="C15" s="110"/>
      <c r="D15" s="110"/>
      <c r="E15" s="110"/>
      <c r="F15" s="110"/>
      <c r="G15" s="110"/>
      <c r="H15" s="110"/>
      <c r="I15" s="110"/>
      <c r="J15" s="110"/>
    </row>
    <row r="16" spans="1:14" ht="16" x14ac:dyDescent="0.2">
      <c r="A16" s="111" t="s">
        <v>137</v>
      </c>
      <c r="B16" s="111"/>
      <c r="C16" s="37">
        <v>33</v>
      </c>
      <c r="D16" s="111" t="s">
        <v>138</v>
      </c>
      <c r="E16" s="111"/>
      <c r="F16" s="111" t="s">
        <v>139</v>
      </c>
      <c r="G16" s="111"/>
      <c r="H16" s="38">
        <v>41.87</v>
      </c>
      <c r="I16" s="111" t="s">
        <v>140</v>
      </c>
      <c r="J16" s="111"/>
    </row>
    <row r="17" spans="1:10" x14ac:dyDescent="0.2">
      <c r="A17" s="105" t="s">
        <v>141</v>
      </c>
      <c r="B17" s="105"/>
      <c r="C17" s="39">
        <f>MAX(Configurações!B4-C16,0)</f>
        <v>5</v>
      </c>
      <c r="D17" s="105" t="s">
        <v>142</v>
      </c>
      <c r="E17" s="105"/>
      <c r="F17" s="40">
        <f>IFERROR(C16/Configurações!B4,0)</f>
        <v>0.86842105263157898</v>
      </c>
      <c r="G17" s="105" t="s">
        <v>143</v>
      </c>
      <c r="H17" s="105"/>
      <c r="I17" s="106">
        <f>MAX(Configurações!B5-H16,0)</f>
        <v>8.39</v>
      </c>
      <c r="J17" s="105"/>
    </row>
    <row r="18" spans="1:10" x14ac:dyDescent="0.2">
      <c r="A18" s="41" t="s">
        <v>16</v>
      </c>
      <c r="B18" s="41" t="s">
        <v>144</v>
      </c>
      <c r="C18" s="41"/>
      <c r="D18" s="41" t="s">
        <v>9</v>
      </c>
      <c r="E18" s="91" t="s">
        <v>145</v>
      </c>
      <c r="F18" s="41"/>
      <c r="G18" s="41" t="s">
        <v>146</v>
      </c>
      <c r="H18" s="41" t="s">
        <v>147</v>
      </c>
      <c r="I18" s="42"/>
      <c r="J18" s="42"/>
    </row>
    <row r="19" spans="1:10" x14ac:dyDescent="0.2">
      <c r="A19" t="s">
        <v>44</v>
      </c>
      <c r="B19" s="46">
        <f>COUNTIF(Planejamento!J4:J7,"Não iniciado")</f>
        <v>0</v>
      </c>
      <c r="D19" s="46" t="s">
        <v>148</v>
      </c>
      <c r="E19" s="92">
        <f>MIN(C16/Configurações!B4,1)</f>
        <v>0.86842105263157898</v>
      </c>
      <c r="G19" s="46" t="s">
        <v>149</v>
      </c>
      <c r="H19" s="92">
        <f>B4</f>
        <v>0.85074454939577349</v>
      </c>
    </row>
    <row r="20" spans="1:10" x14ac:dyDescent="0.2">
      <c r="A20" t="s">
        <v>32</v>
      </c>
      <c r="B20" s="46">
        <f>COUNTIF(Planejamento!J4:J7,"Em andamento")</f>
        <v>2</v>
      </c>
      <c r="D20" s="46" t="s">
        <v>150</v>
      </c>
      <c r="E20" s="92">
        <f>MIN(H16/Configurações!B5,1)</f>
        <v>0.8330680461599681</v>
      </c>
      <c r="G20" s="46" t="s">
        <v>151</v>
      </c>
      <c r="H20" s="92">
        <f>1-H19</f>
        <v>0.14925545060422651</v>
      </c>
    </row>
    <row r="21" spans="1:10" x14ac:dyDescent="0.2">
      <c r="A21" t="s">
        <v>152</v>
      </c>
      <c r="B21" s="46">
        <f>COUNTIF(Planejamento!J4:J7,"Concluído")</f>
        <v>2</v>
      </c>
      <c r="D21" s="46" t="s">
        <v>88</v>
      </c>
      <c r="E21" s="92">
        <f>Planejamento!K6</f>
        <v>1</v>
      </c>
      <c r="G21" s="46"/>
      <c r="H21" s="46"/>
    </row>
    <row r="22" spans="1:10" x14ac:dyDescent="0.2">
      <c r="A22" t="s">
        <v>153</v>
      </c>
      <c r="B22" s="46">
        <f>COUNTIF(Planejamento!J4:J7,"Prorrogado")+COUNTIF(Planejamento!J4:J7,"Atrasado")</f>
        <v>0</v>
      </c>
      <c r="D22" s="46" t="s">
        <v>154</v>
      </c>
      <c r="E22" s="92">
        <f>Planejamento!K7</f>
        <v>0</v>
      </c>
      <c r="G22" s="46"/>
      <c r="H22" s="46"/>
    </row>
    <row r="23" spans="1:10" x14ac:dyDescent="0.2">
      <c r="B23" s="46"/>
      <c r="D23" s="46"/>
      <c r="H23" s="46"/>
    </row>
    <row r="41" spans="4:7" x14ac:dyDescent="0.2">
      <c r="D41" t="s">
        <v>155</v>
      </c>
      <c r="E41" t="s">
        <v>156</v>
      </c>
      <c r="F41" t="s">
        <v>157</v>
      </c>
      <c r="G41" t="s">
        <v>158</v>
      </c>
    </row>
    <row r="42" spans="4:7" x14ac:dyDescent="0.2">
      <c r="D42" s="34">
        <v>46249</v>
      </c>
      <c r="E42" s="36">
        <v>0.5</v>
      </c>
      <c r="F42" s="36">
        <f>AVERAGE('Base Áreas'!G4:G22)</f>
        <v>0.94736842105263153</v>
      </c>
      <c r="G42" t="s">
        <v>159</v>
      </c>
    </row>
    <row r="43" spans="4:7" x14ac:dyDescent="0.2">
      <c r="D43" s="34">
        <v>46265</v>
      </c>
      <c r="E43" s="36">
        <v>1</v>
      </c>
      <c r="F43" s="36">
        <f>AVERAGE('Base Áreas'!G23:G41)</f>
        <v>0.78947368421052633</v>
      </c>
      <c r="G43" t="s">
        <v>160</v>
      </c>
    </row>
    <row r="44" spans="4:7" x14ac:dyDescent="0.2">
      <c r="D44" s="34">
        <v>46280</v>
      </c>
      <c r="E44" s="36">
        <v>1</v>
      </c>
      <c r="F44" s="36">
        <f>AVERAGE(Planejamento!K4:K6)</f>
        <v>0.64575435803994663</v>
      </c>
      <c r="G44" t="s">
        <v>161</v>
      </c>
    </row>
  </sheetData>
  <mergeCells count="25">
    <mergeCell ref="A17:B17"/>
    <mergeCell ref="D17:E17"/>
    <mergeCell ref="G17:H17"/>
    <mergeCell ref="I17:J17"/>
    <mergeCell ref="B12:L12"/>
    <mergeCell ref="B13:L14"/>
    <mergeCell ref="A15:J15"/>
    <mergeCell ref="A16:B16"/>
    <mergeCell ref="D16:E16"/>
    <mergeCell ref="F16:G16"/>
    <mergeCell ref="I16:J16"/>
    <mergeCell ref="B8:D10"/>
    <mergeCell ref="B7:D7"/>
    <mergeCell ref="F8:H10"/>
    <mergeCell ref="F7:H7"/>
    <mergeCell ref="J8:L10"/>
    <mergeCell ref="J7:L7"/>
    <mergeCell ref="A1:N1"/>
    <mergeCell ref="A2:N2"/>
    <mergeCell ref="B4:D6"/>
    <mergeCell ref="B3:D3"/>
    <mergeCell ref="F4:H6"/>
    <mergeCell ref="F3:H3"/>
    <mergeCell ref="J4:L6"/>
    <mergeCell ref="J3:L3"/>
  </mergeCells>
  <conditionalFormatting sqref="B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3">
    <cfRule type="dataBar" priority="2">
      <dataBar>
        <cfvo type="min"/>
        <cfvo type="max"/>
        <color rgb="FF2E7D32"/>
      </dataBar>
    </cfRule>
    <cfRule type="dataBar" priority="6">
      <dataBar>
        <cfvo type="min"/>
        <cfvo type="max"/>
        <color rgb="FF2E7D32"/>
      </dataBar>
      <extLst>
        <ext xmlns:x14="http://schemas.microsoft.com/office/spreadsheetml/2009/9/main" uri="{B025F937-C7B1-47D3-B67F-A62EFF666E3E}">
          <x14:id>{92165A5B-A211-886A-569A-EDE963449FCB}</x14:id>
        </ext>
      </extLst>
    </cfRule>
  </conditionalFormatting>
  <conditionalFormatting sqref="B13:L14">
    <cfRule type="dataBar" priority="1">
      <dataBar>
        <cfvo type="min"/>
        <cfvo type="max"/>
        <color rgb="FF1F6E43"/>
      </dataBar>
    </cfRule>
    <cfRule type="dataBar" priority="5">
      <dataBar>
        <cfvo type="min"/>
        <cfvo type="max"/>
        <color rgb="FF1F6E43"/>
      </dataBar>
      <extLst>
        <ext xmlns:x14="http://schemas.microsoft.com/office/spreadsheetml/2009/9/main" uri="{B025F937-C7B1-47D3-B67F-A62EFF666E3E}">
          <x14:id>{B238BFCE-5FD3-A3AC-ECE0-904809807721}</x14:id>
        </ext>
      </extLst>
    </cfRule>
  </conditionalFormatting>
  <conditionalFormatting sqref="E19:E20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sqref="C16" xr:uid="{00000000-0002-0000-0200-000000000000}">
      <formula1>0</formula1>
      <formula2>38</formula2>
    </dataValidation>
    <dataValidation type="decimal" sqref="H16" xr:uid="{00000000-0002-0000-0200-000001000000}">
      <formula1>0</formula1>
      <formula2>50.26</formula2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2165A5B-A211-886A-569A-EDE963449FCB}">
            <x14:dataBar>
              <x14:cfvo type="min"/>
              <x14:cfvo type="max"/>
              <x14:negativeFillColor auto="1"/>
              <x14:axisColor auto="1"/>
            </x14:dataBar>
          </x14:cfRule>
          <xm:sqref>B13</xm:sqref>
        </x14:conditionalFormatting>
        <x14:conditionalFormatting xmlns:xm="http://schemas.microsoft.com/office/excel/2006/main">
          <x14:cfRule type="dataBar" id="{B238BFCE-5FD3-A3AC-ECE0-904809807721}">
            <x14:dataBar>
              <x14:cfvo type="min"/>
              <x14:cfvo type="max"/>
              <x14:negativeFillColor auto="1"/>
              <x14:axisColor auto="1"/>
            </x14:dataBar>
          </x14:cfRule>
          <xm:sqref>B13:L14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"/>
  <sheetViews>
    <sheetView topLeftCell="A25" workbookViewId="0">
      <selection activeCell="F35" sqref="F35"/>
    </sheetView>
  </sheetViews>
  <sheetFormatPr baseColWidth="10" defaultColWidth="8.83203125" defaultRowHeight="15" x14ac:dyDescent="0.2"/>
  <cols>
    <col min="1" max="2" width="12" style="46" customWidth="1"/>
    <col min="3" max="4" width="14" style="46" customWidth="1"/>
    <col min="5" max="5" width="22" style="46" customWidth="1"/>
    <col min="6" max="6" width="16" style="46" customWidth="1"/>
    <col min="7" max="8" width="14" style="46" customWidth="1"/>
    <col min="9" max="10" width="22" customWidth="1"/>
    <col min="11" max="11" width="32" customWidth="1"/>
    <col min="12" max="12" width="14" customWidth="1"/>
  </cols>
  <sheetData>
    <row r="1" spans="1:12" ht="21" x14ac:dyDescent="0.25">
      <c r="A1" s="134" t="s">
        <v>183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</row>
    <row r="3" spans="1:12" ht="16" x14ac:dyDescent="0.2">
      <c r="A3" s="35" t="s">
        <v>10</v>
      </c>
      <c r="B3" s="35" t="s">
        <v>4</v>
      </c>
      <c r="C3" s="35" t="s">
        <v>184</v>
      </c>
      <c r="D3" s="35" t="s">
        <v>185</v>
      </c>
      <c r="E3" s="35" t="s">
        <v>15</v>
      </c>
      <c r="F3" s="35" t="s">
        <v>16</v>
      </c>
      <c r="G3" s="35" t="s">
        <v>17</v>
      </c>
      <c r="H3" s="35" t="s">
        <v>186</v>
      </c>
      <c r="I3" s="35" t="s">
        <v>187</v>
      </c>
      <c r="J3" s="35" t="s">
        <v>188</v>
      </c>
      <c r="K3" s="35" t="s">
        <v>158</v>
      </c>
      <c r="L3" s="35" t="s">
        <v>14</v>
      </c>
    </row>
    <row r="4" spans="1:12" x14ac:dyDescent="0.2">
      <c r="A4" s="46" t="s">
        <v>189</v>
      </c>
      <c r="B4" s="64">
        <v>1.18</v>
      </c>
      <c r="C4" s="47">
        <v>46249</v>
      </c>
      <c r="D4" s="47"/>
      <c r="E4" s="46" t="s">
        <v>171</v>
      </c>
      <c r="F4" s="46" t="s">
        <v>234</v>
      </c>
      <c r="G4" s="74">
        <v>0</v>
      </c>
      <c r="H4" s="75" t="s">
        <v>159</v>
      </c>
    </row>
    <row r="5" spans="1:12" x14ac:dyDescent="0.2">
      <c r="A5" s="46" t="s">
        <v>190</v>
      </c>
      <c r="B5" s="64">
        <v>1.52</v>
      </c>
      <c r="C5" s="47">
        <v>46249</v>
      </c>
      <c r="D5" s="47">
        <v>46241</v>
      </c>
      <c r="E5" s="46" t="s">
        <v>171</v>
      </c>
      <c r="F5" s="46" t="s">
        <v>152</v>
      </c>
      <c r="G5" s="74">
        <v>1</v>
      </c>
      <c r="H5" s="46" t="s">
        <v>159</v>
      </c>
    </row>
    <row r="6" spans="1:12" x14ac:dyDescent="0.2">
      <c r="A6" s="46" t="s">
        <v>191</v>
      </c>
      <c r="B6" s="64">
        <v>0.2</v>
      </c>
      <c r="C6" s="47">
        <v>46249</v>
      </c>
      <c r="D6" s="47">
        <v>46241</v>
      </c>
      <c r="E6" s="46" t="s">
        <v>171</v>
      </c>
      <c r="F6" s="46" t="s">
        <v>152</v>
      </c>
      <c r="G6" s="74">
        <v>1</v>
      </c>
      <c r="H6" s="46" t="s">
        <v>159</v>
      </c>
    </row>
    <row r="7" spans="1:12" x14ac:dyDescent="0.2">
      <c r="A7" s="46" t="s">
        <v>192</v>
      </c>
      <c r="B7" s="64">
        <v>1.95</v>
      </c>
      <c r="C7" s="47">
        <v>46249</v>
      </c>
      <c r="D7" s="47">
        <v>46241</v>
      </c>
      <c r="E7" s="46" t="s">
        <v>171</v>
      </c>
      <c r="F7" s="46" t="s">
        <v>152</v>
      </c>
      <c r="G7" s="74">
        <v>1</v>
      </c>
      <c r="H7" s="46" t="s">
        <v>159</v>
      </c>
    </row>
    <row r="8" spans="1:12" x14ac:dyDescent="0.2">
      <c r="A8" s="46" t="s">
        <v>193</v>
      </c>
      <c r="B8" s="64">
        <v>1.93</v>
      </c>
      <c r="C8" s="47">
        <v>46249</v>
      </c>
      <c r="D8" s="47">
        <v>46241</v>
      </c>
      <c r="E8" s="46" t="s">
        <v>171</v>
      </c>
      <c r="F8" s="46" t="s">
        <v>152</v>
      </c>
      <c r="G8" s="74">
        <v>1</v>
      </c>
      <c r="H8" s="46" t="s">
        <v>159</v>
      </c>
    </row>
    <row r="9" spans="1:12" x14ac:dyDescent="0.2">
      <c r="A9" s="46" t="s">
        <v>194</v>
      </c>
      <c r="B9" s="64">
        <v>1.04</v>
      </c>
      <c r="C9" s="47">
        <v>46249</v>
      </c>
      <c r="D9" s="47">
        <v>46241</v>
      </c>
      <c r="E9" s="46" t="s">
        <v>171</v>
      </c>
      <c r="F9" s="46" t="s">
        <v>152</v>
      </c>
      <c r="G9" s="74">
        <v>1</v>
      </c>
      <c r="H9" s="46" t="s">
        <v>159</v>
      </c>
    </row>
    <row r="10" spans="1:12" x14ac:dyDescent="0.2">
      <c r="A10" s="46" t="s">
        <v>195</v>
      </c>
      <c r="B10" s="64">
        <v>0.64</v>
      </c>
      <c r="C10" s="47">
        <v>46249</v>
      </c>
      <c r="D10" s="47">
        <v>46241</v>
      </c>
      <c r="E10" s="46" t="s">
        <v>171</v>
      </c>
      <c r="F10" s="46" t="s">
        <v>152</v>
      </c>
      <c r="G10" s="74">
        <v>1</v>
      </c>
      <c r="H10" s="46" t="s">
        <v>159</v>
      </c>
    </row>
    <row r="11" spans="1:12" x14ac:dyDescent="0.2">
      <c r="A11" s="46" t="s">
        <v>196</v>
      </c>
      <c r="B11" s="64">
        <v>1.55</v>
      </c>
      <c r="C11" s="47">
        <v>46249</v>
      </c>
      <c r="D11" s="47">
        <v>46241</v>
      </c>
      <c r="E11" s="46" t="s">
        <v>171</v>
      </c>
      <c r="F11" s="46" t="s">
        <v>152</v>
      </c>
      <c r="G11" s="74">
        <v>1</v>
      </c>
      <c r="H11" s="46" t="s">
        <v>159</v>
      </c>
    </row>
    <row r="12" spans="1:12" x14ac:dyDescent="0.2">
      <c r="A12" s="46" t="s">
        <v>197</v>
      </c>
      <c r="B12" s="64">
        <v>0.28000000000000003</v>
      </c>
      <c r="C12" s="47">
        <v>46249</v>
      </c>
      <c r="D12" s="47">
        <v>46241</v>
      </c>
      <c r="E12" s="46" t="s">
        <v>171</v>
      </c>
      <c r="F12" s="46" t="s">
        <v>152</v>
      </c>
      <c r="G12" s="74">
        <v>1</v>
      </c>
      <c r="H12" s="46" t="s">
        <v>159</v>
      </c>
    </row>
    <row r="13" spans="1:12" x14ac:dyDescent="0.2">
      <c r="A13" s="46" t="s">
        <v>198</v>
      </c>
      <c r="B13" s="64">
        <v>1.79</v>
      </c>
      <c r="C13" s="47">
        <v>46249</v>
      </c>
      <c r="D13" s="47">
        <v>46241</v>
      </c>
      <c r="E13" s="46" t="s">
        <v>171</v>
      </c>
      <c r="F13" s="46" t="s">
        <v>152</v>
      </c>
      <c r="G13" s="74">
        <v>1</v>
      </c>
      <c r="H13" s="46" t="s">
        <v>159</v>
      </c>
    </row>
    <row r="14" spans="1:12" x14ac:dyDescent="0.2">
      <c r="A14" s="46" t="s">
        <v>199</v>
      </c>
      <c r="B14" s="64">
        <v>0.56000000000000005</v>
      </c>
      <c r="C14" s="47">
        <v>46249</v>
      </c>
      <c r="D14" s="47">
        <v>46241</v>
      </c>
      <c r="E14" s="46" t="s">
        <v>171</v>
      </c>
      <c r="F14" s="46" t="s">
        <v>152</v>
      </c>
      <c r="G14" s="74">
        <v>1</v>
      </c>
      <c r="H14" s="46" t="s">
        <v>159</v>
      </c>
    </row>
    <row r="15" spans="1:12" x14ac:dyDescent="0.2">
      <c r="A15" s="46" t="s">
        <v>200</v>
      </c>
      <c r="B15" s="64">
        <v>1.29</v>
      </c>
      <c r="C15" s="47">
        <v>46249</v>
      </c>
      <c r="D15" s="47">
        <v>46241</v>
      </c>
      <c r="E15" s="46" t="s">
        <v>171</v>
      </c>
      <c r="F15" s="46" t="s">
        <v>152</v>
      </c>
      <c r="G15" s="74">
        <v>1</v>
      </c>
      <c r="H15" s="46" t="s">
        <v>159</v>
      </c>
    </row>
    <row r="16" spans="1:12" x14ac:dyDescent="0.2">
      <c r="A16" s="46" t="s">
        <v>201</v>
      </c>
      <c r="B16" s="64">
        <v>0.97</v>
      </c>
      <c r="C16" s="47">
        <v>46249</v>
      </c>
      <c r="D16" s="47">
        <v>46241</v>
      </c>
      <c r="E16" s="46" t="s">
        <v>171</v>
      </c>
      <c r="F16" s="46" t="s">
        <v>152</v>
      </c>
      <c r="G16" s="74">
        <v>1</v>
      </c>
      <c r="H16" s="46" t="s">
        <v>159</v>
      </c>
    </row>
    <row r="17" spans="1:8" x14ac:dyDescent="0.2">
      <c r="A17" s="46" t="s">
        <v>202</v>
      </c>
      <c r="B17" s="64">
        <v>0.43</v>
      </c>
      <c r="C17" s="47">
        <v>46249</v>
      </c>
      <c r="D17" s="47">
        <v>46241</v>
      </c>
      <c r="E17" s="46" t="s">
        <v>171</v>
      </c>
      <c r="F17" s="46" t="s">
        <v>152</v>
      </c>
      <c r="G17" s="74">
        <v>1</v>
      </c>
      <c r="H17" s="46" t="s">
        <v>159</v>
      </c>
    </row>
    <row r="18" spans="1:8" x14ac:dyDescent="0.2">
      <c r="A18" s="46" t="s">
        <v>203</v>
      </c>
      <c r="B18" s="64">
        <v>1.37</v>
      </c>
      <c r="C18" s="47">
        <v>46249</v>
      </c>
      <c r="D18" s="47">
        <v>46241</v>
      </c>
      <c r="E18" s="46" t="s">
        <v>171</v>
      </c>
      <c r="F18" s="46" t="s">
        <v>152</v>
      </c>
      <c r="G18" s="74">
        <v>1</v>
      </c>
      <c r="H18" s="46" t="s">
        <v>159</v>
      </c>
    </row>
    <row r="19" spans="1:8" x14ac:dyDescent="0.2">
      <c r="A19" s="46" t="s">
        <v>204</v>
      </c>
      <c r="B19" s="64">
        <v>0.05</v>
      </c>
      <c r="C19" s="47">
        <v>46249</v>
      </c>
      <c r="D19" s="47">
        <v>46241</v>
      </c>
      <c r="E19" s="46" t="s">
        <v>171</v>
      </c>
      <c r="F19" s="46" t="s">
        <v>152</v>
      </c>
      <c r="G19" s="74">
        <v>1</v>
      </c>
      <c r="H19" s="46" t="s">
        <v>159</v>
      </c>
    </row>
    <row r="20" spans="1:8" x14ac:dyDescent="0.2">
      <c r="A20" s="46" t="s">
        <v>205</v>
      </c>
      <c r="B20" s="64">
        <v>0.84</v>
      </c>
      <c r="C20" s="47">
        <v>46249</v>
      </c>
      <c r="D20" s="47">
        <v>46241</v>
      </c>
      <c r="E20" s="46" t="s">
        <v>171</v>
      </c>
      <c r="F20" s="46" t="s">
        <v>152</v>
      </c>
      <c r="G20" s="74">
        <v>1</v>
      </c>
      <c r="H20" s="46" t="s">
        <v>159</v>
      </c>
    </row>
    <row r="21" spans="1:8" x14ac:dyDescent="0.2">
      <c r="A21" s="46" t="s">
        <v>206</v>
      </c>
      <c r="B21" s="64">
        <v>0.3</v>
      </c>
      <c r="C21" s="47">
        <v>46249</v>
      </c>
      <c r="D21" s="47">
        <v>46241</v>
      </c>
      <c r="E21" s="46" t="s">
        <v>171</v>
      </c>
      <c r="F21" s="46" t="s">
        <v>152</v>
      </c>
      <c r="G21" s="74">
        <v>1</v>
      </c>
      <c r="H21" s="46" t="s">
        <v>159</v>
      </c>
    </row>
    <row r="22" spans="1:8" x14ac:dyDescent="0.2">
      <c r="A22" s="46" t="s">
        <v>207</v>
      </c>
      <c r="B22" s="64">
        <v>0.55000000000000004</v>
      </c>
      <c r="C22" s="47">
        <v>46249</v>
      </c>
      <c r="D22" s="47">
        <v>46241</v>
      </c>
      <c r="E22" s="46" t="s">
        <v>171</v>
      </c>
      <c r="F22" s="46" t="s">
        <v>152</v>
      </c>
      <c r="G22" s="74">
        <v>1</v>
      </c>
      <c r="H22" s="46" t="s">
        <v>159</v>
      </c>
    </row>
    <row r="23" spans="1:8" x14ac:dyDescent="0.2">
      <c r="A23" s="46" t="s">
        <v>208</v>
      </c>
      <c r="B23" s="64">
        <v>2.09</v>
      </c>
      <c r="C23" s="47">
        <v>46265</v>
      </c>
      <c r="D23" s="47">
        <v>46241</v>
      </c>
      <c r="E23" s="46" t="s">
        <v>171</v>
      </c>
      <c r="F23" s="46" t="s">
        <v>152</v>
      </c>
      <c r="G23" s="74">
        <v>1</v>
      </c>
      <c r="H23" s="46" t="s">
        <v>160</v>
      </c>
    </row>
    <row r="24" spans="1:8" x14ac:dyDescent="0.2">
      <c r="A24" s="46" t="s">
        <v>209</v>
      </c>
      <c r="B24" s="64">
        <v>0.48</v>
      </c>
      <c r="C24" s="47">
        <v>46265</v>
      </c>
      <c r="D24" s="47">
        <v>46241</v>
      </c>
      <c r="E24" s="46" t="s">
        <v>171</v>
      </c>
      <c r="F24" s="46" t="s">
        <v>152</v>
      </c>
      <c r="G24" s="74">
        <v>1</v>
      </c>
      <c r="H24" s="46" t="s">
        <v>160</v>
      </c>
    </row>
    <row r="25" spans="1:8" x14ac:dyDescent="0.2">
      <c r="A25" s="46" t="s">
        <v>210</v>
      </c>
      <c r="B25" s="64">
        <v>0.65</v>
      </c>
      <c r="C25" s="47">
        <v>46265</v>
      </c>
      <c r="D25" s="47">
        <v>46241</v>
      </c>
      <c r="E25" s="46" t="s">
        <v>171</v>
      </c>
      <c r="F25" s="46" t="s">
        <v>152</v>
      </c>
      <c r="G25" s="74">
        <v>1</v>
      </c>
      <c r="H25" s="46" t="s">
        <v>160</v>
      </c>
    </row>
    <row r="26" spans="1:8" x14ac:dyDescent="0.2">
      <c r="A26" s="46" t="s">
        <v>211</v>
      </c>
      <c r="B26" s="64">
        <v>1.41</v>
      </c>
      <c r="C26" s="47">
        <v>46265</v>
      </c>
      <c r="D26" s="47">
        <v>46241</v>
      </c>
      <c r="E26" s="46" t="s">
        <v>171</v>
      </c>
      <c r="F26" s="46" t="s">
        <v>152</v>
      </c>
      <c r="G26" s="74">
        <v>1</v>
      </c>
      <c r="H26" s="46" t="s">
        <v>160</v>
      </c>
    </row>
    <row r="27" spans="1:8" x14ac:dyDescent="0.2">
      <c r="A27" s="46" t="s">
        <v>212</v>
      </c>
      <c r="B27" s="64">
        <v>1.57</v>
      </c>
      <c r="C27" s="47">
        <v>46265</v>
      </c>
      <c r="D27" s="47">
        <v>46241</v>
      </c>
      <c r="E27" s="46" t="s">
        <v>171</v>
      </c>
      <c r="F27" s="46" t="s">
        <v>152</v>
      </c>
      <c r="G27" s="74">
        <v>1</v>
      </c>
      <c r="H27" s="46" t="s">
        <v>160</v>
      </c>
    </row>
    <row r="28" spans="1:8" x14ac:dyDescent="0.2">
      <c r="A28" s="46" t="s">
        <v>213</v>
      </c>
      <c r="B28" s="64">
        <v>0.7</v>
      </c>
      <c r="C28" s="47">
        <v>46265</v>
      </c>
      <c r="D28" s="47">
        <v>46241</v>
      </c>
      <c r="E28" s="46" t="s">
        <v>171</v>
      </c>
      <c r="F28" s="46" t="s">
        <v>152</v>
      </c>
      <c r="G28" s="74">
        <v>1</v>
      </c>
      <c r="H28" s="46" t="s">
        <v>160</v>
      </c>
    </row>
    <row r="29" spans="1:8" x14ac:dyDescent="0.2">
      <c r="A29" s="46" t="s">
        <v>214</v>
      </c>
      <c r="B29" s="64">
        <v>3.46</v>
      </c>
      <c r="C29" s="47">
        <v>46265</v>
      </c>
      <c r="D29" s="47">
        <v>46241</v>
      </c>
      <c r="E29" s="46" t="s">
        <v>171</v>
      </c>
      <c r="F29" s="46" t="s">
        <v>152</v>
      </c>
      <c r="G29" s="74">
        <v>1</v>
      </c>
      <c r="H29" s="46" t="s">
        <v>160</v>
      </c>
    </row>
    <row r="30" spans="1:8" x14ac:dyDescent="0.2">
      <c r="A30" s="46" t="s">
        <v>215</v>
      </c>
      <c r="B30" s="64">
        <v>3.66</v>
      </c>
      <c r="C30" s="47">
        <v>46265</v>
      </c>
      <c r="D30" s="47">
        <v>46241</v>
      </c>
      <c r="E30" s="46" t="s">
        <v>171</v>
      </c>
      <c r="F30" s="46" t="s">
        <v>152</v>
      </c>
      <c r="G30" s="74">
        <v>1</v>
      </c>
      <c r="H30" s="46" t="s">
        <v>160</v>
      </c>
    </row>
    <row r="31" spans="1:8" x14ac:dyDescent="0.2">
      <c r="A31" s="46" t="s">
        <v>216</v>
      </c>
      <c r="B31" s="64">
        <v>0.63</v>
      </c>
      <c r="C31" s="47">
        <v>46265</v>
      </c>
      <c r="D31" s="47">
        <v>46241</v>
      </c>
      <c r="E31" s="46" t="s">
        <v>171</v>
      </c>
      <c r="F31" s="46" t="s">
        <v>152</v>
      </c>
      <c r="G31" s="74">
        <v>1</v>
      </c>
      <c r="H31" s="46" t="s">
        <v>160</v>
      </c>
    </row>
    <row r="32" spans="1:8" x14ac:dyDescent="0.2">
      <c r="A32" s="46" t="s">
        <v>217</v>
      </c>
      <c r="B32" s="64">
        <v>4.67</v>
      </c>
      <c r="C32" s="47">
        <v>46265</v>
      </c>
      <c r="D32" s="47">
        <v>46241</v>
      </c>
      <c r="E32" s="46" t="s">
        <v>171</v>
      </c>
      <c r="F32" s="46" t="s">
        <v>152</v>
      </c>
      <c r="G32" s="74">
        <v>1</v>
      </c>
      <c r="H32" s="46" t="s">
        <v>160</v>
      </c>
    </row>
    <row r="33" spans="1:8" x14ac:dyDescent="0.2">
      <c r="A33" s="46" t="s">
        <v>218</v>
      </c>
      <c r="B33" s="64">
        <v>6.39</v>
      </c>
      <c r="C33" s="47">
        <v>46265</v>
      </c>
      <c r="D33" s="47">
        <v>46241</v>
      </c>
      <c r="E33" s="46" t="s">
        <v>171</v>
      </c>
      <c r="F33" s="46" t="s">
        <v>44</v>
      </c>
      <c r="G33" s="74">
        <v>0</v>
      </c>
      <c r="H33" s="46" t="s">
        <v>160</v>
      </c>
    </row>
    <row r="34" spans="1:8" x14ac:dyDescent="0.2">
      <c r="A34" s="46" t="s">
        <v>219</v>
      </c>
      <c r="B34" s="69">
        <v>1.2982</v>
      </c>
      <c r="C34" s="47">
        <v>46265</v>
      </c>
      <c r="D34" s="47">
        <v>46241</v>
      </c>
      <c r="E34" s="46" t="s">
        <v>171</v>
      </c>
      <c r="F34" s="46" t="s">
        <v>152</v>
      </c>
      <c r="G34" s="74">
        <v>1</v>
      </c>
      <c r="H34" s="46" t="s">
        <v>160</v>
      </c>
    </row>
    <row r="35" spans="1:8" x14ac:dyDescent="0.2">
      <c r="A35" s="46" t="s">
        <v>220</v>
      </c>
      <c r="B35" s="69">
        <v>0.74860000000000004</v>
      </c>
      <c r="C35" s="47">
        <v>46265</v>
      </c>
      <c r="D35" s="47">
        <v>46241</v>
      </c>
      <c r="E35" s="46" t="s">
        <v>171</v>
      </c>
      <c r="F35" s="46" t="s">
        <v>152</v>
      </c>
      <c r="G35" s="74">
        <v>1</v>
      </c>
      <c r="H35" s="46" t="s">
        <v>160</v>
      </c>
    </row>
    <row r="36" spans="1:8" x14ac:dyDescent="0.2">
      <c r="A36" s="46" t="s">
        <v>221</v>
      </c>
      <c r="B36" s="69">
        <v>0.64839999999999998</v>
      </c>
      <c r="C36" s="47">
        <v>46265</v>
      </c>
      <c r="D36" s="47">
        <v>46241</v>
      </c>
      <c r="E36" s="46" t="s">
        <v>171</v>
      </c>
      <c r="F36" s="46" t="s">
        <v>44</v>
      </c>
      <c r="G36" s="74">
        <v>0</v>
      </c>
      <c r="H36" s="46" t="s">
        <v>160</v>
      </c>
    </row>
    <row r="37" spans="1:8" x14ac:dyDescent="0.2">
      <c r="A37" s="46" t="s">
        <v>222</v>
      </c>
      <c r="B37" s="69">
        <v>1.2756000000000001</v>
      </c>
      <c r="C37" s="47">
        <v>46265</v>
      </c>
      <c r="D37" s="47">
        <v>46241</v>
      </c>
      <c r="E37" s="46" t="s">
        <v>171</v>
      </c>
      <c r="F37" s="46" t="s">
        <v>152</v>
      </c>
      <c r="G37" s="74">
        <v>1</v>
      </c>
      <c r="H37" s="46" t="s">
        <v>160</v>
      </c>
    </row>
    <row r="38" spans="1:8" x14ac:dyDescent="0.2">
      <c r="A38" s="46" t="s">
        <v>223</v>
      </c>
      <c r="B38" s="69">
        <v>0.37840000000000001</v>
      </c>
      <c r="C38" s="47">
        <v>46265</v>
      </c>
      <c r="D38" s="47">
        <v>46241</v>
      </c>
      <c r="E38" s="46" t="s">
        <v>171</v>
      </c>
      <c r="F38" s="46" t="s">
        <v>44</v>
      </c>
      <c r="G38" s="74">
        <v>0</v>
      </c>
      <c r="H38" s="46" t="s">
        <v>160</v>
      </c>
    </row>
    <row r="39" spans="1:8" x14ac:dyDescent="0.2">
      <c r="A39" s="46" t="s">
        <v>224</v>
      </c>
      <c r="B39" s="69">
        <v>0.35980000000000001</v>
      </c>
      <c r="C39" s="47">
        <v>46265</v>
      </c>
      <c r="D39" s="47">
        <v>46241</v>
      </c>
      <c r="E39" s="46" t="s">
        <v>171</v>
      </c>
      <c r="F39" s="46" t="s">
        <v>44</v>
      </c>
      <c r="G39" s="74">
        <v>0</v>
      </c>
      <c r="H39" s="46" t="s">
        <v>160</v>
      </c>
    </row>
    <row r="40" spans="1:8" x14ac:dyDescent="0.2">
      <c r="A40" s="46" t="s">
        <v>225</v>
      </c>
      <c r="B40" s="69">
        <v>0.63919999999999999</v>
      </c>
      <c r="C40" s="47">
        <v>46265</v>
      </c>
      <c r="D40" s="47">
        <v>46241</v>
      </c>
      <c r="E40" s="46" t="s">
        <v>171</v>
      </c>
      <c r="F40" s="46" t="s">
        <v>152</v>
      </c>
      <c r="G40" s="74">
        <v>1</v>
      </c>
      <c r="H40" s="46" t="s">
        <v>160</v>
      </c>
    </row>
    <row r="41" spans="1:8" x14ac:dyDescent="0.2">
      <c r="A41" s="46" t="s">
        <v>226</v>
      </c>
      <c r="B41" s="69">
        <v>0.76349999999999996</v>
      </c>
      <c r="C41" s="47">
        <v>46265</v>
      </c>
      <c r="D41" s="47">
        <v>46241</v>
      </c>
      <c r="E41" s="46" t="s">
        <v>171</v>
      </c>
      <c r="F41" s="46" t="s">
        <v>152</v>
      </c>
      <c r="G41" s="74">
        <v>1</v>
      </c>
      <c r="H41" s="46" t="s">
        <v>160</v>
      </c>
    </row>
  </sheetData>
  <mergeCells count="1">
    <mergeCell ref="A1:L1"/>
  </mergeCells>
  <conditionalFormatting sqref="F4:F41">
    <cfRule type="expression" dxfId="3" priority="2">
      <formula>F4="Concluído"</formula>
    </cfRule>
    <cfRule type="expression" dxfId="2" priority="3">
      <formula>F4="Em andamento"</formula>
    </cfRule>
    <cfRule type="expression" dxfId="1" priority="4">
      <formula>OR(F4="Atrasado",F4="Não iniciado")</formula>
    </cfRule>
    <cfRule type="expression" dxfId="0" priority="5">
      <formula>F4="Prorrogado"</formula>
    </cfRule>
  </conditionalFormatting>
  <conditionalFormatting sqref="G4:G41">
    <cfRule type="dataBar" priority="1">
      <dataBar>
        <cfvo type="min"/>
        <cfvo type="max"/>
        <color rgb="FF1F6E43"/>
      </dataBar>
    </cfRule>
    <cfRule type="dataBar" priority="6">
      <dataBar>
        <cfvo type="min"/>
        <cfvo type="max"/>
        <color rgb="FF1F6E43"/>
      </dataBar>
      <extLst>
        <ext xmlns:x14="http://schemas.microsoft.com/office/spreadsheetml/2009/9/main" uri="{B025F937-C7B1-47D3-B67F-A62EFF666E3E}">
          <x14:id>{16E49146-E2A1-FF54-B3B0-1D4A3C9B9FB0}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6E49146-E2A1-FF54-B3B0-1D4A3C9B9FB0}">
            <x14:dataBar>
              <x14:cfvo type="min"/>
              <x14:cfvo type="max"/>
              <x14:negativeFillColor auto="1"/>
              <x14:axisColor auto="1"/>
            </x14:dataBar>
          </x14:cfRule>
          <xm:sqref>G4:G41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400-000000000000}">
          <x14:formula1>
            <xm:f>Configurações!$D$4:$D$8</xm:f>
          </x14:formula1>
          <xm:sqref>F4:F41</xm:sqref>
        </x14:dataValidation>
        <x14:dataValidation type="list" xr:uid="{00000000-0002-0000-0400-000001000000}">
          <x14:formula1>
            <xm:f>Configurações!$F$4:$F$7</xm:f>
          </x14:formula1>
          <xm:sqref>E4:E41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"/>
  <sheetViews>
    <sheetView workbookViewId="0">
      <selection activeCell="C16" sqref="C16"/>
    </sheetView>
  </sheetViews>
  <sheetFormatPr baseColWidth="10" defaultColWidth="8.83203125" defaultRowHeight="15" x14ac:dyDescent="0.2"/>
  <cols>
    <col min="1" max="6" width="22" style="46" customWidth="1"/>
  </cols>
  <sheetData>
    <row r="1" spans="1:6" ht="21" x14ac:dyDescent="0.25">
      <c r="A1" s="134" t="s">
        <v>227</v>
      </c>
      <c r="B1" s="134"/>
      <c r="C1" s="134"/>
      <c r="D1" s="134"/>
    </row>
    <row r="3" spans="1:6" x14ac:dyDescent="0.2">
      <c r="A3" s="51" t="s">
        <v>228</v>
      </c>
      <c r="B3" s="51" t="s">
        <v>147</v>
      </c>
      <c r="D3" s="51" t="s">
        <v>16</v>
      </c>
      <c r="F3" s="51" t="s">
        <v>229</v>
      </c>
    </row>
    <row r="4" spans="1:6" x14ac:dyDescent="0.2">
      <c r="A4" s="46" t="s">
        <v>230</v>
      </c>
      <c r="B4" s="46">
        <v>38</v>
      </c>
      <c r="D4" s="46" t="s">
        <v>44</v>
      </c>
      <c r="E4" s="46">
        <v>5</v>
      </c>
      <c r="F4" s="46" t="s">
        <v>171</v>
      </c>
    </row>
    <row r="5" spans="1:6" x14ac:dyDescent="0.2">
      <c r="A5" s="46" t="s">
        <v>231</v>
      </c>
      <c r="B5" s="46">
        <v>50.26</v>
      </c>
      <c r="D5" s="46" t="s">
        <v>32</v>
      </c>
      <c r="F5" s="46" t="s">
        <v>177</v>
      </c>
    </row>
    <row r="6" spans="1:6" x14ac:dyDescent="0.2">
      <c r="A6" s="46" t="s">
        <v>232</v>
      </c>
      <c r="B6" s="46">
        <v>3.46</v>
      </c>
      <c r="D6" s="46" t="s">
        <v>152</v>
      </c>
      <c r="E6" s="46">
        <v>33</v>
      </c>
      <c r="F6" s="46" t="s">
        <v>181</v>
      </c>
    </row>
    <row r="7" spans="1:6" x14ac:dyDescent="0.2">
      <c r="A7" s="46" t="s">
        <v>233</v>
      </c>
      <c r="B7" s="47">
        <v>46239</v>
      </c>
      <c r="D7" s="46" t="s">
        <v>234</v>
      </c>
      <c r="F7" s="46" t="s">
        <v>235</v>
      </c>
    </row>
    <row r="8" spans="1:6" x14ac:dyDescent="0.2">
      <c r="A8" s="46" t="s">
        <v>236</v>
      </c>
      <c r="B8" s="47">
        <v>46265</v>
      </c>
      <c r="D8" s="46" t="s">
        <v>237</v>
      </c>
    </row>
    <row r="9" spans="1:6" x14ac:dyDescent="0.2">
      <c r="A9" s="46" t="s">
        <v>238</v>
      </c>
      <c r="B9" s="46">
        <v>15</v>
      </c>
    </row>
    <row r="10" spans="1:6" x14ac:dyDescent="0.2">
      <c r="A10" s="46" t="s">
        <v>239</v>
      </c>
      <c r="B10" s="47">
        <v>46240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Calendario</vt:lpstr>
      <vt:lpstr>Calendario Visual - Atividades</vt:lpstr>
      <vt:lpstr>Planejamento</vt:lpstr>
      <vt:lpstr>Cronograma 2026-2028</vt:lpstr>
      <vt:lpstr>Controle Integrado</vt:lpstr>
      <vt:lpstr>Dashboard Executivo</vt:lpstr>
      <vt:lpstr>Base Áreas</vt:lpstr>
      <vt:lpstr>Configurações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Oliveira</dc:creator>
  <cp:keywords>EcoBrasil</cp:keywords>
  <cp:lastModifiedBy>Maurivan Ribeiro</cp:lastModifiedBy>
  <dcterms:created xsi:type="dcterms:W3CDTF">2026-08-06T17:34:59Z</dcterms:created>
  <dcterms:modified xsi:type="dcterms:W3CDTF">2026-08-19T13:54:28Z</dcterms:modified>
</cp:coreProperties>
</file>